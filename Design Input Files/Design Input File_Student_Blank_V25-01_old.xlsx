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_rels/externalLink1.xml.rels" ContentType="application/vnd.openxmlformats-package.relationships+xml"/>
  <Override PartName="/xl/externalLinks/externalLink1.xml" ContentType="application/vnd.openxmlformats-officedocument.spreadsheetml.externalLink+xml"/>
  <Override PartName="/xl/sharedStrings.xml" ContentType="application/vnd.openxmlformats-officedocument.spreadsheetml.sharedStrings+xml"/>
  <Override PartName="/xl/comments2.xml" ContentType="application/vnd.openxmlformats-officedocument.spreadsheetml.comments+xml"/>
  <Override PartName="/xl/drawings/vmlDrawing1.vml" ContentType="application/vnd.openxmlformats-officedocument.vmlDrawing"/>
  <Override PartName="/xl/drawings/drawing1.xml" ContentType="application/vnd.openxmlformats-officedocument.drawing+xml"/>
  <Override PartName="/xl/drawings/vmlDrawing3.vml" ContentType="application/vnd.openxmlformats-officedocument.vmlDrawing"/>
  <Override PartName="/xl/drawings/vmlDrawing2.vml" ContentType="application/vnd.openxmlformats-officedocument.vmlDrawing"/>
  <Override PartName="/xl/drawings/drawing2.xml" ContentType="application/vnd.openxmlformats-officedocument.drawing+xml"/>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_rels/workbook.xml.rels" ContentType="application/vnd.openxmlformats-package.relationships+xml"/>
  <Override PartName="/xl/comments4.xml" ContentType="application/vnd.openxmlformats-officedocument.spreadsheetml.comments+xml"/>
  <Override PartName="/xl/media/image1.png" ContentType="image/png"/>
  <Override PartName="/xl/media/image2.svg" ContentType="image/svg"/>
  <Override PartName="/xl/media/image5.png" ContentType="image/png"/>
  <Override PartName="/xl/media/image3.jpeg" ContentType="image/jpeg"/>
  <Override PartName="/xl/media/image4.jpeg" ContentType="image/jpeg"/>
  <Override PartName="/xl/media/image6.svg" ContentType="image/svg"/>
  <Override PartName="/xl/media/image9.png" ContentType="image/png"/>
  <Override PartName="/xl/media/image10.svg" ContentType="image/svg"/>
  <Override PartName="/xl/media/image7.png" ContentType="image/png"/>
  <Override PartName="/xl/media/image8.svg" ContentType="image/svg"/>
  <Override PartName="/xl/comments5.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Variable Reference" sheetId="1" state="visible" r:id="rId3"/>
    <sheet name="Main_Input" sheetId="2" state="visible" r:id="rId4"/>
    <sheet name="Airfoil_Data" sheetId="3" state="visible" r:id="rId5"/>
    <sheet name="Component_Data" sheetId="4" state="visible" r:id="rId6"/>
    <sheet name="Materials" sheetId="5" state="visible" r:id="rId7"/>
    <sheet name="Benchmark_Truth" sheetId="6" state="visible" r:id="rId8"/>
    <sheet name="Geometry Reference" sheetId="7" state="visible" r:id="rId9"/>
  </sheets>
  <externalReferences>
    <externalReference r:id="rId10"/>
  </externalReferences>
  <definedNames>
    <definedName function="false" hidden="false" name="MATERIALS" vbProcedure="false">Materials!$A$1:$H$1</definedName>
    <definedName function="false" hidden="false" localSheetId="0" name="MATERIALS" vbProcedure="false">[1]Materials!$A$1:$H$1</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John Mah:
</t>
        </r>
        <r>
          <rPr>
            <sz val="9"/>
            <color rgb="FF000000"/>
            <rFont val="Tahoma"/>
            <family val="2"/>
            <charset val="1"/>
          </rPr>
          <t xml:space="preserve">Design Configuration ID</t>
        </r>
      </text>
    </comment>
    <comment ref="B1" authorId="0">
      <text>
        <r>
          <rPr>
            <sz val="10"/>
            <rFont val="Arial"/>
            <family val="2"/>
          </rPr>
          <t xml:space="preserve">John Mah:
</t>
        </r>
        <r>
          <rPr>
            <sz val="9"/>
            <color rgb="FF000000"/>
            <rFont val="Tahoma"/>
            <family val="2"/>
            <charset val="1"/>
          </rPr>
          <t xml:space="preserve">STD Atmosphere Altitude in meters</t>
        </r>
      </text>
    </comment>
    <comment ref="C1" authorId="0">
      <text>
        <r>
          <rPr>
            <sz val="10"/>
            <rFont val="Arial"/>
            <family val="2"/>
          </rPr>
          <t xml:space="preserve">John Mah:
</t>
        </r>
        <r>
          <rPr>
            <sz val="9"/>
            <color rgb="FF000000"/>
            <rFont val="Tahoma"/>
            <family val="2"/>
            <charset val="1"/>
          </rPr>
          <t xml:space="preserve">Estimate of glide velocity (m/s)</t>
        </r>
      </text>
    </comment>
    <comment ref="D1" authorId="0">
      <text>
        <r>
          <rPr>
            <sz val="10"/>
            <rFont val="Arial"/>
            <family val="2"/>
          </rPr>
          <t xml:space="preserve">John Mah:
</t>
        </r>
        <r>
          <rPr>
            <sz val="9"/>
            <color rgb="FF000000"/>
            <rFont val="Tahoma"/>
            <family val="2"/>
            <charset val="1"/>
          </rPr>
          <t xml:space="preserve">Fuselage length in m</t>
        </r>
      </text>
    </comment>
    <comment ref="E1" authorId="0">
      <text>
        <r>
          <rPr>
            <sz val="10"/>
            <rFont val="Arial"/>
            <family val="2"/>
          </rPr>
          <t xml:space="preserve">John Mah:
</t>
        </r>
        <r>
          <rPr>
            <sz val="9"/>
            <color rgb="FF000000"/>
            <rFont val="Tahoma"/>
            <family val="2"/>
            <charset val="1"/>
          </rPr>
          <t xml:space="preserve">Fuselage max diameter in m</t>
        </r>
      </text>
    </comment>
    <comment ref="F1" authorId="0">
      <text>
        <r>
          <rPr>
            <sz val="10"/>
            <rFont val="Arial"/>
            <family val="2"/>
          </rPr>
          <t xml:space="preserve">John Mah:
</t>
        </r>
        <r>
          <rPr>
            <sz val="9"/>
            <color rgb="FF000000"/>
            <rFont val="Tahoma"/>
            <family val="2"/>
            <charset val="1"/>
          </rPr>
          <t xml:space="preserve">Fuselage finess ratio (auto calcuated from length_f and dia_f)</t>
        </r>
      </text>
    </comment>
    <comment ref="H1" authorId="0">
      <text>
        <r>
          <rPr>
            <sz val="10"/>
            <rFont val="Arial"/>
            <family val="2"/>
          </rPr>
          <t xml:space="preserve">John Mah:
</t>
        </r>
        <r>
          <rPr>
            <sz val="9"/>
            <color rgb="FF000000"/>
            <rFont val="Tahoma"/>
            <family val="2"/>
            <charset val="1"/>
          </rPr>
          <t xml:space="preserve">Max Fuselage Xsection Area in m^2 (autocalculated)</t>
        </r>
      </text>
    </comment>
    <comment ref="I1" authorId="0">
      <text>
        <r>
          <rPr>
            <sz val="10"/>
            <rFont val="Arial"/>
            <family val="2"/>
          </rPr>
          <t xml:space="preserve">John Mah:
</t>
        </r>
        <r>
          <rPr>
            <sz val="9"/>
            <color rgb="FF000000"/>
            <rFont val="Tahoma"/>
            <family val="2"/>
            <charset val="1"/>
          </rPr>
          <t xml:space="preserve">Aft Xsection Fuselage Area where departure angle &gt; 20 deg (m^2)</t>
        </r>
      </text>
    </comment>
    <comment ref="J1" authorId="0">
      <text>
        <r>
          <rPr>
            <sz val="10"/>
            <rFont val="Arial"/>
            <family val="2"/>
          </rPr>
          <t xml:space="preserve">John Mah:
</t>
        </r>
        <r>
          <rPr>
            <sz val="9"/>
            <color rgb="FF000000"/>
            <rFont val="Tahoma"/>
            <family val="2"/>
            <charset val="1"/>
          </rPr>
          <t xml:space="preserve">Wetted Fuselage Area (m^2)
</t>
        </r>
      </text>
    </comment>
    <comment ref="K1" authorId="0">
      <text>
        <r>
          <rPr>
            <sz val="10"/>
            <rFont val="Arial"/>
            <family val="2"/>
          </rPr>
          <t xml:space="preserve">John Mah:
</t>
        </r>
        <r>
          <rPr>
            <sz val="9"/>
            <color rgb="FF000000"/>
            <rFont val="Tahoma"/>
            <family val="2"/>
            <charset val="1"/>
          </rPr>
          <t xml:space="preserve">Fuselage Interference Factor (default= 1)</t>
        </r>
      </text>
    </comment>
    <comment ref="L2" authorId="0">
      <text>
        <r>
          <rPr>
            <sz val="10"/>
            <rFont val="Arial"/>
            <family val="2"/>
          </rPr>
          <t xml:space="preserve">John Mah:
</t>
        </r>
        <r>
          <rPr>
            <sz val="9"/>
            <color rgb="FF000000"/>
            <rFont val="Tahoma"/>
            <family val="2"/>
            <charset val="1"/>
          </rPr>
          <t xml:space="preserve">0.3 kg/m^2 by manufacture spec.  Convert to density with a standard 5 mm thickness of board (0.005 m^3 volume for 1 x 1 m square board)</t>
        </r>
      </text>
    </comment>
    <comment ref="M1" authorId="0">
      <text>
        <r>
          <rPr>
            <sz val="10"/>
            <rFont val="Arial"/>
            <family val="2"/>
          </rPr>
          <t xml:space="preserve">John Mah:
</t>
        </r>
        <r>
          <rPr>
            <sz val="9"/>
            <color rgb="FF000000"/>
            <rFont val="Tahoma"/>
            <family val="2"/>
            <charset val="1"/>
          </rPr>
          <t xml:space="preserve">Wing Planform Area (m^2)</t>
        </r>
      </text>
    </comment>
    <comment ref="N1" authorId="0">
      <text>
        <r>
          <rPr>
            <sz val="10"/>
            <rFont val="Arial"/>
            <family val="2"/>
          </rPr>
          <t xml:space="preserve">John Mah:
</t>
        </r>
        <r>
          <rPr>
            <sz val="9"/>
            <color rgb="FF000000"/>
            <rFont val="Tahoma"/>
            <family val="2"/>
            <charset val="1"/>
          </rPr>
          <t xml:space="preserve">Wing Wetted Area (m^2)</t>
        </r>
      </text>
    </comment>
    <comment ref="O1" authorId="0">
      <text>
        <r>
          <rPr>
            <sz val="10"/>
            <rFont val="Arial"/>
            <family val="2"/>
          </rPr>
          <t xml:space="preserve">John Mah:
</t>
        </r>
        <r>
          <rPr>
            <sz val="9"/>
            <color rgb="FF000000"/>
            <rFont val="Tahoma"/>
            <family val="2"/>
            <charset val="1"/>
          </rPr>
          <t xml:space="preserve">Wing Aspect Ratio</t>
        </r>
      </text>
    </comment>
    <comment ref="P1" authorId="0">
      <text>
        <r>
          <rPr>
            <sz val="10"/>
            <rFont val="Arial"/>
            <family val="2"/>
          </rPr>
          <t xml:space="preserve">John Mah:
</t>
        </r>
        <r>
          <rPr>
            <sz val="9"/>
            <color rgb="FF000000"/>
            <rFont val="Tahoma"/>
            <family val="2"/>
            <charset val="1"/>
          </rPr>
          <t xml:space="preserve">Wing Taper Ratio</t>
        </r>
      </text>
    </comment>
    <comment ref="Q1" authorId="0">
      <text>
        <r>
          <rPr>
            <sz val="10"/>
            <rFont val="Arial"/>
            <family val="2"/>
          </rPr>
          <t xml:space="preserve">John Mah:
</t>
        </r>
        <r>
          <rPr>
            <sz val="9"/>
            <color rgb="FF000000"/>
            <rFont val="Tahoma"/>
            <family val="2"/>
            <charset val="1"/>
          </rPr>
          <t xml:space="preserve">Wing Leading Edge Sweep (deg)</t>
        </r>
      </text>
    </comment>
    <comment ref="R1" authorId="0">
      <text>
        <r>
          <rPr>
            <sz val="10"/>
            <rFont val="Arial"/>
            <family val="2"/>
          </rPr>
          <t xml:space="preserve">John Mah:
</t>
        </r>
        <r>
          <rPr>
            <sz val="9"/>
            <color rgb="FF000000"/>
            <rFont val="Tahoma"/>
            <family val="2"/>
            <charset val="1"/>
          </rPr>
          <t xml:space="preserve">Wing Quarter Chord Sweep (deg)</t>
        </r>
      </text>
    </comment>
    <comment ref="S1" authorId="0">
      <text>
        <r>
          <rPr>
            <sz val="10"/>
            <rFont val="Arial"/>
            <family val="2"/>
          </rPr>
          <t xml:space="preserve">John Mah:
</t>
        </r>
        <r>
          <rPr>
            <sz val="9"/>
            <color rgb="FF000000"/>
            <rFont val="Tahoma"/>
            <family val="2"/>
            <charset val="1"/>
          </rPr>
          <t xml:space="preserve">Wing Interference Factor</t>
        </r>
      </text>
    </comment>
    <comment ref="T2" authorId="0">
      <text>
        <r>
          <rPr>
            <sz val="10"/>
            <rFont val="Arial"/>
            <family val="2"/>
          </rPr>
          <t xml:space="preserve">John Mah:
</t>
        </r>
        <r>
          <rPr>
            <sz val="9"/>
            <color rgb="FF000000"/>
            <rFont val="Tahoma"/>
            <family val="2"/>
            <charset val="1"/>
          </rPr>
          <t xml:space="preserve">0.3 kg/m^2 by manufacture spec.  Convert to density with a standard 5 mm thickness of board (0.005 m^3 volume for 1 x 1 m square board)</t>
        </r>
      </text>
    </comment>
    <comment ref="U1" authorId="0">
      <text>
        <r>
          <rPr>
            <sz val="10"/>
            <rFont val="Arial"/>
            <family val="2"/>
          </rPr>
          <t xml:space="preserve">John Mah:
</t>
        </r>
        <r>
          <rPr>
            <sz val="9"/>
            <color rgb="FF000000"/>
            <rFont val="Tahoma"/>
            <family val="2"/>
            <charset val="1"/>
          </rPr>
          <t xml:space="preserve">Horz Tail 1 Planform Area (m^2)</t>
        </r>
      </text>
    </comment>
    <comment ref="V1" authorId="0">
      <text>
        <r>
          <rPr>
            <sz val="10"/>
            <rFont val="Arial"/>
            <family val="2"/>
          </rPr>
          <t xml:space="preserve">John Mah:
</t>
        </r>
        <r>
          <rPr>
            <sz val="9"/>
            <color rgb="FF000000"/>
            <rFont val="Tahoma"/>
            <family val="2"/>
            <charset val="1"/>
          </rPr>
          <t xml:space="preserve">Horz Tail 1 Wetted Area (m^2)</t>
        </r>
      </text>
    </comment>
    <comment ref="W1" authorId="0">
      <text>
        <r>
          <rPr>
            <sz val="10"/>
            <rFont val="Arial"/>
            <family val="2"/>
          </rPr>
          <t xml:space="preserve">John Mah:
</t>
        </r>
        <r>
          <rPr>
            <sz val="9"/>
            <color rgb="FF000000"/>
            <rFont val="Tahoma"/>
            <family val="2"/>
            <charset val="1"/>
          </rPr>
          <t xml:space="preserve">Horz Tail 1 Aspect Ratio</t>
        </r>
      </text>
    </comment>
    <comment ref="X1" authorId="0">
      <text>
        <r>
          <rPr>
            <sz val="10"/>
            <rFont val="Arial"/>
            <family val="2"/>
          </rPr>
          <t xml:space="preserve">John Mah:
</t>
        </r>
        <r>
          <rPr>
            <sz val="9"/>
            <color rgb="FF000000"/>
            <rFont val="Tahoma"/>
            <family val="2"/>
            <charset val="1"/>
          </rPr>
          <t xml:space="preserve">Horz Tail 1 Taper Ratio</t>
        </r>
      </text>
    </comment>
    <comment ref="Y1" authorId="0">
      <text>
        <r>
          <rPr>
            <sz val="10"/>
            <rFont val="Arial"/>
            <family val="2"/>
          </rPr>
          <t xml:space="preserve">John Mah:
</t>
        </r>
        <r>
          <rPr>
            <sz val="9"/>
            <color rgb="FF000000"/>
            <rFont val="Tahoma"/>
            <family val="2"/>
            <charset val="1"/>
          </rPr>
          <t xml:space="preserve">Horz Tail 1 Leading Edge Sweep (deg)</t>
        </r>
      </text>
    </comment>
    <comment ref="Z1" authorId="0">
      <text>
        <r>
          <rPr>
            <sz val="10"/>
            <rFont val="Arial"/>
            <family val="2"/>
          </rPr>
          <t xml:space="preserve">John Mah:
</t>
        </r>
        <r>
          <rPr>
            <sz val="9"/>
            <color rgb="FF000000"/>
            <rFont val="Tahoma"/>
            <family val="2"/>
            <charset val="1"/>
          </rPr>
          <t xml:space="preserve">Horz Tail 1 Estimated Mean Aerodynamic Chord length (m).  Calculate using following equation: 
MAC = (2/3)*(Root Chord)*(1+Taper+Taper^2)/(1+Taper)</t>
        </r>
      </text>
    </comment>
    <comment ref="AA1" authorId="0">
      <text>
        <r>
          <rPr>
            <sz val="10"/>
            <rFont val="Arial"/>
            <family val="2"/>
          </rPr>
          <t xml:space="preserve">John Mah:
</t>
        </r>
        <r>
          <rPr>
            <sz val="9"/>
            <color rgb="FF000000"/>
            <rFont val="Tahoma"/>
            <family val="2"/>
            <charset val="1"/>
          </rPr>
          <t xml:space="preserve">Horz Tail 1 Interference Factor</t>
        </r>
      </text>
    </comment>
    <comment ref="AB2" authorId="0">
      <text>
        <r>
          <rPr>
            <b val="true"/>
            <sz val="9"/>
            <color rgb="FF000000"/>
            <rFont val="Tahoma"/>
            <family val="2"/>
            <charset val="1"/>
          </rPr>
          <t xml:space="preserve">John Mah:
</t>
        </r>
        <r>
          <rPr>
            <sz val="9"/>
            <color rgb="FF000000"/>
            <rFont val="Tahoma"/>
            <family val="2"/>
            <charset val="1"/>
          </rPr>
          <t xml:space="preserve">0.3 kg/m^2 by manufacture spec.  Convert to density with a standard 5 mm thickness of board (0.005 m^3 volume for 1 x 1 m square board)</t>
        </r>
      </text>
    </comment>
    <comment ref="AC1" authorId="0">
      <text>
        <r>
          <rPr>
            <sz val="10"/>
            <rFont val="Arial"/>
            <family val="2"/>
          </rPr>
          <t xml:space="preserve">John Mah:
</t>
        </r>
        <r>
          <rPr>
            <sz val="9"/>
            <color rgb="FF000000"/>
            <rFont val="Tahoma"/>
            <family val="2"/>
            <charset val="1"/>
          </rPr>
          <t xml:space="preserve">Vert Tail 1 Planform Area (m^2)</t>
        </r>
      </text>
    </comment>
    <comment ref="AD1" authorId="0">
      <text>
        <r>
          <rPr>
            <sz val="10"/>
            <rFont val="Arial"/>
            <family val="2"/>
          </rPr>
          <t xml:space="preserve">John Mah:
</t>
        </r>
        <r>
          <rPr>
            <sz val="9"/>
            <color rgb="FF000000"/>
            <rFont val="Tahoma"/>
            <family val="2"/>
            <charset val="1"/>
          </rPr>
          <t xml:space="preserve">Vert Tail 1 Wetted Area (m^2)</t>
        </r>
      </text>
    </comment>
    <comment ref="AE1" authorId="0">
      <text>
        <r>
          <rPr>
            <sz val="10"/>
            <rFont val="Arial"/>
            <family val="2"/>
          </rPr>
          <t xml:space="preserve">John Mah:
</t>
        </r>
        <r>
          <rPr>
            <sz val="9"/>
            <color rgb="FF000000"/>
            <rFont val="Tahoma"/>
            <family val="2"/>
            <charset val="1"/>
          </rPr>
          <t xml:space="preserve">Vert Tail 1 Aspect Ratio</t>
        </r>
      </text>
    </comment>
    <comment ref="AF1" authorId="0">
      <text>
        <r>
          <rPr>
            <sz val="10"/>
            <rFont val="Arial"/>
            <family val="2"/>
          </rPr>
          <t xml:space="preserve">John Mah:
</t>
        </r>
        <r>
          <rPr>
            <sz val="9"/>
            <color rgb="FF000000"/>
            <rFont val="Tahoma"/>
            <family val="2"/>
            <charset val="1"/>
          </rPr>
          <t xml:space="preserve">Vert Tail 1 Taper Ratio
</t>
        </r>
      </text>
    </comment>
    <comment ref="AG1" authorId="0">
      <text>
        <r>
          <rPr>
            <sz val="10"/>
            <rFont val="Arial"/>
            <family val="2"/>
          </rPr>
          <t xml:space="preserve">John Mah:
</t>
        </r>
        <r>
          <rPr>
            <sz val="9"/>
            <color rgb="FF000000"/>
            <rFont val="Tahoma"/>
            <family val="2"/>
            <charset val="1"/>
          </rPr>
          <t xml:space="preserve">Vert Tail 1 Leading Edge Sweep (deg)</t>
        </r>
      </text>
    </comment>
    <comment ref="AH1" authorId="0">
      <text>
        <r>
          <rPr>
            <sz val="10"/>
            <rFont val="Arial"/>
            <family val="2"/>
          </rPr>
          <t xml:space="preserve">John Mah:
</t>
        </r>
        <r>
          <rPr>
            <sz val="9"/>
            <color rgb="FF000000"/>
            <rFont val="Tahoma"/>
            <family val="2"/>
            <charset val="1"/>
          </rPr>
          <t xml:space="preserve">Vert Tail 1 Estimated Mean Aerodynamic Chord (m)</t>
        </r>
      </text>
    </comment>
    <comment ref="AI1" authorId="0">
      <text>
        <r>
          <rPr>
            <sz val="10"/>
            <rFont val="Arial"/>
            <family val="2"/>
          </rPr>
          <t xml:space="preserve">John Mah:
</t>
        </r>
        <r>
          <rPr>
            <sz val="9"/>
            <color rgb="FF000000"/>
            <rFont val="Tahoma"/>
            <family val="2"/>
            <charset val="1"/>
          </rPr>
          <t xml:space="preserve">Vert Tail 1 Interference Factor</t>
        </r>
      </text>
    </comment>
    <comment ref="AJ2" authorId="0">
      <text>
        <r>
          <rPr>
            <b val="true"/>
            <sz val="9"/>
            <color rgb="FF000000"/>
            <rFont val="Tahoma"/>
            <family val="2"/>
            <charset val="1"/>
          </rPr>
          <t xml:space="preserve">John Mah:
</t>
        </r>
        <r>
          <rPr>
            <sz val="9"/>
            <color rgb="FF000000"/>
            <rFont val="Tahoma"/>
            <family val="2"/>
            <charset val="1"/>
          </rPr>
          <t xml:space="preserve">0.3 kg/m^2 by manufacture spec.  Convert to density with a standard 5 mm thickness of board (0.005 m^3 volume for 1 x 1 m square board)</t>
        </r>
      </text>
    </comment>
    <comment ref="AK1" authorId="0">
      <text>
        <r>
          <rPr>
            <sz val="10"/>
            <rFont val="Arial"/>
            <family val="2"/>
          </rPr>
          <t xml:space="preserve">John Mah:
</t>
        </r>
        <r>
          <rPr>
            <sz val="9"/>
            <color rgb="FF000000"/>
            <rFont val="Tahoma"/>
            <family val="2"/>
            <charset val="1"/>
          </rPr>
          <t xml:space="preserve">Vert Tail 2 Planform Area (m^2)</t>
        </r>
      </text>
    </comment>
    <comment ref="AL1" authorId="0">
      <text>
        <r>
          <rPr>
            <sz val="10"/>
            <rFont val="Arial"/>
            <family val="2"/>
          </rPr>
          <t xml:space="preserve">John Mah:
</t>
        </r>
        <r>
          <rPr>
            <sz val="9"/>
            <color rgb="FF000000"/>
            <rFont val="Tahoma"/>
            <family val="2"/>
            <charset val="1"/>
          </rPr>
          <t xml:space="preserve">Vert Tail 2 Wetted Area (m^2)</t>
        </r>
      </text>
    </comment>
    <comment ref="AM1" authorId="0">
      <text>
        <r>
          <rPr>
            <sz val="10"/>
            <rFont val="Arial"/>
            <family val="2"/>
          </rPr>
          <t xml:space="preserve">John Mah:
</t>
        </r>
        <r>
          <rPr>
            <sz val="9"/>
            <color rgb="FF000000"/>
            <rFont val="Tahoma"/>
            <family val="2"/>
            <charset val="1"/>
          </rPr>
          <t xml:space="preserve">Vert Tail 2 Aspect Ratio</t>
        </r>
      </text>
    </comment>
    <comment ref="AN1" authorId="0">
      <text>
        <r>
          <rPr>
            <sz val="10"/>
            <rFont val="Arial"/>
            <family val="2"/>
          </rPr>
          <t xml:space="preserve">John Mah:
</t>
        </r>
        <r>
          <rPr>
            <sz val="9"/>
            <color rgb="FF000000"/>
            <rFont val="Tahoma"/>
            <family val="2"/>
            <charset val="1"/>
          </rPr>
          <t xml:space="preserve">Vert Tail 2 Taper Ratio</t>
        </r>
      </text>
    </comment>
    <comment ref="AO1" authorId="0">
      <text>
        <r>
          <rPr>
            <sz val="10"/>
            <rFont val="Arial"/>
            <family val="2"/>
          </rPr>
          <t xml:space="preserve">John Mah:
</t>
        </r>
        <r>
          <rPr>
            <sz val="9"/>
            <color rgb="FF000000"/>
            <rFont val="Tahoma"/>
            <family val="2"/>
            <charset val="1"/>
          </rPr>
          <t xml:space="preserve">Vert Tail 2 Leading Edge Sweep (deg)</t>
        </r>
      </text>
    </comment>
    <comment ref="AP1" authorId="0">
      <text>
        <r>
          <rPr>
            <sz val="10"/>
            <rFont val="Arial"/>
            <family val="2"/>
          </rPr>
          <t xml:space="preserve">John Mah:
</t>
        </r>
        <r>
          <rPr>
            <sz val="9"/>
            <color rgb="FF000000"/>
            <rFont val="Tahoma"/>
            <family val="2"/>
            <charset val="1"/>
          </rPr>
          <t xml:space="preserve">Vert Tail 2 Estimated Mean Aerodynamic Chord (m)</t>
        </r>
      </text>
    </comment>
    <comment ref="AQ1" authorId="0">
      <text>
        <r>
          <rPr>
            <sz val="10"/>
            <rFont val="Arial"/>
            <family val="2"/>
          </rPr>
          <t xml:space="preserve">John Mah:
</t>
        </r>
        <r>
          <rPr>
            <sz val="9"/>
            <color rgb="FF000000"/>
            <rFont val="Tahoma"/>
            <family val="2"/>
            <charset val="1"/>
          </rPr>
          <t xml:space="preserve">Vert Tail 2 Interference Factor</t>
        </r>
      </text>
    </comment>
    <comment ref="AR2" authorId="0">
      <text>
        <r>
          <rPr>
            <b val="true"/>
            <sz val="9"/>
            <color rgb="FF000000"/>
            <rFont val="Tahoma"/>
            <family val="2"/>
            <charset val="1"/>
          </rPr>
          <t xml:space="preserve">John Mah:
</t>
        </r>
        <r>
          <rPr>
            <sz val="9"/>
            <color rgb="FF000000"/>
            <rFont val="Tahoma"/>
            <family val="2"/>
            <charset val="1"/>
          </rPr>
          <t xml:space="preserve">0.3 kg/m^2 by manufacture spec.  Convert to density with a standard 5 mm thickness of board (0.005 m^3 volume for 1 x 1 m square board)</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H1" authorId="0">
      <text>
        <r>
          <rPr>
            <sz val="10"/>
            <rFont val="Arial"/>
            <family val="2"/>
          </rPr>
          <t xml:space="preserve">John Mah:
</t>
        </r>
        <r>
          <rPr>
            <sz val="9"/>
            <color rgb="FF000000"/>
            <rFont val="Tahoma"/>
            <family val="2"/>
            <charset val="1"/>
          </rPr>
          <t xml:space="preserve">Only input value if measured and known.  Otherwise leave at zero.  Model wiill assume CG is at 30% wing MAC.</t>
        </r>
      </text>
    </comment>
    <comment ref="K1" authorId="0">
      <text>
        <r>
          <rPr>
            <sz val="10"/>
            <rFont val="Arial"/>
            <family val="2"/>
          </rPr>
          <t xml:space="preserve">John Mah:
</t>
        </r>
        <r>
          <rPr>
            <sz val="9"/>
            <color rgb="FF000000"/>
            <rFont val="Tahoma"/>
            <family val="2"/>
            <charset val="1"/>
          </rPr>
          <t xml:space="preserve">Only input value if measured and known.  Otherwise leave at zero.  Model wiill assume CG is at 30% tail MAC.</t>
        </r>
      </text>
    </comment>
    <comment ref="N1" authorId="0">
      <text>
        <r>
          <rPr>
            <sz val="10"/>
            <rFont val="Arial"/>
            <family val="2"/>
          </rPr>
          <t xml:space="preserve">John Mah:
</t>
        </r>
        <r>
          <rPr>
            <sz val="9"/>
            <color rgb="FF000000"/>
            <rFont val="Tahoma"/>
            <family val="2"/>
            <charset val="1"/>
          </rPr>
          <t xml:space="preserve">Only input value if measured and known.  Otherwise leave at zero.  Model wiill assume CG is at 30% tail MAC.</t>
        </r>
      </text>
    </comment>
    <comment ref="Q1" authorId="0">
      <text>
        <r>
          <rPr>
            <sz val="10"/>
            <rFont val="Arial"/>
            <family val="2"/>
          </rPr>
          <t xml:space="preserve">John Mah:
</t>
        </r>
        <r>
          <rPr>
            <sz val="9"/>
            <color rgb="FF000000"/>
            <rFont val="Tahoma"/>
            <family val="2"/>
            <charset val="1"/>
          </rPr>
          <t xml:space="preserve">Only input value if measured and known.  Otherwise leave at zero.  Model wiill assume CG is at 30% tail MAC.</t>
        </r>
      </text>
    </comment>
  </commentList>
</comments>
</file>

<file path=xl/comments5.xml><?xml version="1.0" encoding="utf-8"?>
<comments xmlns="http://schemas.openxmlformats.org/spreadsheetml/2006/main" xmlns:xdr="http://schemas.openxmlformats.org/drawingml/2006/spreadsheetDrawing">
  <authors>
    <author>Unknown Author</author>
  </authors>
  <commentList>
    <comment ref="B1" authorId="0">
      <text>
        <r>
          <rPr>
            <sz val="10"/>
            <rFont val="Arial"/>
            <family val="2"/>
          </rPr>
          <t xml:space="preserve">John Mah:
</t>
        </r>
        <r>
          <rPr>
            <sz val="9"/>
            <color rgb="FF000000"/>
            <rFont val="Tahoma"/>
            <family val="2"/>
            <charset val="1"/>
          </rPr>
          <t xml:space="preserve">0.3 kg/m^2 by manufacture spec.  Convert to density with a standard 5 mm thickness of board (0.005 m^3 volume for 1 x 1 m square board)</t>
        </r>
      </text>
    </comment>
    <comment ref="F1" authorId="0">
      <text>
        <r>
          <rPr>
            <sz val="10"/>
            <rFont val="Arial"/>
            <family val="2"/>
          </rPr>
          <t xml:space="preserve">John Mah:
</t>
        </r>
        <r>
          <rPr>
            <sz val="9"/>
            <color rgb="FF000000"/>
            <rFont val="Tahoma"/>
            <family val="0"/>
            <charset val="1"/>
          </rPr>
          <t xml:space="preserve">User specified material density</t>
        </r>
      </text>
    </comment>
    <comment ref="G1" authorId="0">
      <text>
        <r>
          <rPr>
            <sz val="10"/>
            <rFont val="Arial"/>
            <family val="2"/>
          </rPr>
          <t xml:space="preserve">John Mah:
</t>
        </r>
        <r>
          <rPr>
            <sz val="9"/>
            <color rgb="FF000000"/>
            <rFont val="Tahoma"/>
            <family val="0"/>
            <charset val="1"/>
          </rPr>
          <t xml:space="preserve">User specified material density</t>
        </r>
      </text>
    </comment>
  </commentList>
</comments>
</file>

<file path=xl/sharedStrings.xml><?xml version="1.0" encoding="utf-8"?>
<sst xmlns="http://schemas.openxmlformats.org/spreadsheetml/2006/main" count="400" uniqueCount="222">
  <si>
    <t xml:space="preserve">Worksheet</t>
  </si>
  <si>
    <t xml:space="preserve">Variable Name</t>
  </si>
  <si>
    <t xml:space="preserve">Units</t>
  </si>
  <si>
    <t xml:space="preserve">Description</t>
  </si>
  <si>
    <t xml:space="preserve">Main_Input</t>
  </si>
  <si>
    <t xml:space="preserve">N/A</t>
  </si>
  <si>
    <t xml:space="preserve">User defined configuration number label.  Used to differentiate different designs or trade study variations in designs.</t>
  </si>
  <si>
    <t xml:space="preserve">m</t>
  </si>
  <si>
    <t xml:space="preserve">Analysis altitude.  Utilized to find standard atmosphere properties in model via the atmos function.</t>
  </si>
  <si>
    <t xml:space="preserve">m/s</t>
  </si>
  <si>
    <t xml:space="preserve">Representative vehicle true velocity. Used to calculate Reynolds number for model analysis of skin friction drag.  Value should be selected to represent the most prevalent or important mission velocity expected.</t>
  </si>
  <si>
    <t xml:space="preserve">Length of fuselage.</t>
  </si>
  <si>
    <t xml:space="preserve">Maxium diameter of fuselage.</t>
  </si>
  <si>
    <t xml:space="preserve">Fuselage fineness ratio.  Determined by dividing fuselage length by fuselage diameter.</t>
  </si>
  <si>
    <t xml:space="preserve">Fuselage wall thickness.</t>
  </si>
  <si>
    <t xml:space="preserve">m^2</t>
  </si>
  <si>
    <t xml:space="preserve">Maximum fuselage cross-section area.</t>
  </si>
  <si>
    <t xml:space="preserve">Fuselage base drag cross section area.  Determined by finding the cross section in the aft portion of the fuselage where the departure angle of the fuselage contour is &gt; 20 deg.  If this never occurs, then this value is zero.</t>
  </si>
  <si>
    <t xml:space="preserve">Wetted area of fuselage equal to the total exposed surface area of the fuselage.</t>
  </si>
  <si>
    <t xml:space="preserve">Fuselage interference factor.  Default value is 1.0. for basic streamlined tube fuselage.  Can be &gt; 1.0 if significant fuselage protrusions exist.</t>
  </si>
  <si>
    <t xml:space="preserve">Material used to fabricate fuselage.  Options limited to those listed in "Material" tab.</t>
  </si>
  <si>
    <t xml:space="preserve">Wing planform area.  Projected 2-D area of the entire wing to include portions "hidden" within fuselage.  This area is used as the nondimensionalization scaling reference for all aerodynamic coefficients.</t>
  </si>
  <si>
    <t xml:space="preserve">Wetted area of wing.  Accounts for all exposed (i.e. air touches it) surfaces of the wing (top and bottom surface must be accounted for). </t>
  </si>
  <si>
    <t xml:space="preserve">Aspect ratio of the wing.  See Wing Geometry reference sheet for equation.</t>
  </si>
  <si>
    <t xml:space="preserve">Taper ratio of the wing (ratio of root chord to tip chord length). See Wing Geometry reference sheet for equation.</t>
  </si>
  <si>
    <t xml:space="preserve">deg</t>
  </si>
  <si>
    <t xml:space="preserve">Leading edge sweep of the main wing.</t>
  </si>
  <si>
    <t xml:space="preserve">Sweep angle of the line connecting the quarter chord of the main wing from root to tip.</t>
  </si>
  <si>
    <t xml:space="preserve">Wing interference factor.  Accounts for increase in drag due to the complex interaction of the air flow at the junction of the wing and fuselage.  Typical values range from 1.1 (wing that is smoothly integrated/filleted into fuselage) to 1.4 (poorly integrated / filleted wing-fuselage integration).</t>
  </si>
  <si>
    <t xml:space="preserve">Material used to fabricate wing.  Options limited to those listed in "Material" tab.</t>
  </si>
  <si>
    <t xml:space="preserve">Horizontal stabilizer #1 planform area.  Projected 2-D area of the entire horizontal tail to include portions "hidden" within fuselage. </t>
  </si>
  <si>
    <t xml:space="preserve">Wetted area of horizontal stabilizer #1.  Accounts for all exposed (i.e. air touches it) surfaces (top and bottom surface must be accounted for). </t>
  </si>
  <si>
    <t xml:space="preserve">Aspect ratio of horizontal stabilizer #1. See Wing Geometry reference sheet for equation.</t>
  </si>
  <si>
    <t xml:space="preserve">Taper ratio of the horizontal stabilizer #1 (ratio of root chord to tip chord length). See Wing Geometry reference sheet for equation.</t>
  </si>
  <si>
    <t xml:space="preserve">Leading edge sweep of the horizontal stabilizer #1.</t>
  </si>
  <si>
    <t xml:space="preserve">Estimate of the mean aerodynamic chord of the horizontal stabilizer #1.  Can roughly estimate by taking the average of the root chord and tip chord of the horizontal stabilizer.  Utilized to determine Reynolds number effects for horizontal tail.</t>
  </si>
  <si>
    <t xml:space="preserve">Horizontal stabilizer #1 interference factor.  Accounts for increase in drag due to the complex interaction of the air flow at the junction of the horizontal stabilizer and fuselage (or vertical stabilizer).  Typical values range from 1.1 (smoothly integrated/filleted) to 1.4 (poorly integrated / filleted integration).</t>
  </si>
  <si>
    <t xml:space="preserve">Material used to fabricate horizontal stabilizer #1.  Options limited to those listed in "Material" tab.</t>
  </si>
  <si>
    <t xml:space="preserve">Vertical stabilizer #1 planform area.  Projected 2-D area of the entire vertical tail to include portions "hidden" within fuselage. </t>
  </si>
  <si>
    <t xml:space="preserve">Wetted area of vertical stabilizer #1.  Accounts for all exposed (i.e. air touches it) surfaces (top and bottom surface must be accounted for). </t>
  </si>
  <si>
    <t xml:space="preserve">Aspect ratio of vertical stabilizer #1. See Wing Geometry reference sheet for equation.</t>
  </si>
  <si>
    <t xml:space="preserve">Taper ratio of the vertical stabilizer #1 (ratio of root chord to tip chord length). See Wing Geometry reference sheet for equation.</t>
  </si>
  <si>
    <t xml:space="preserve">Leading edge sweep of the vertical stabilizer #1.</t>
  </si>
  <si>
    <t xml:space="preserve">Estimate of the mean aerodynamic chord of the vertical stabilizer #1.  Can roughly estimate by taking the average of the root chord and tip chord of the vertical stabilizer.  Utilized to determine Reynolds number effects for vertical tail.</t>
  </si>
  <si>
    <t xml:space="preserve">Vertical stabilizer #1 interference factor.  Accounts for increase in drag due to the complex interaction of the air flow at the junction of the vertical stabilizer and fuselage.  Typical values range from 1.1 (smoothly integrated/filleted) to 1.4 (poorly integrated / filleted integration).</t>
  </si>
  <si>
    <t xml:space="preserve">Material used to fabricate vertial stabilizer #1  Options limited to those listed in "Material" tab.</t>
  </si>
  <si>
    <t xml:space="preserve">Vertical stabilizer #2 planform area.  Projected 2-D area of the entire vertical tail to include portions "hidden" within fuselage. </t>
  </si>
  <si>
    <t xml:space="preserve">Wetted area of vertical stabilizer #2.  Accounts for all exposed (i.e. air touches it) surfaces (top and bottom surface must be accounted for). </t>
  </si>
  <si>
    <t xml:space="preserve">Aspect ratio of vertical stabilizer #2. See Wing Geometry reference sheet for equation.</t>
  </si>
  <si>
    <t xml:space="preserve">Taper ratio of the vertical stabilizer #2 (ratio of root chord to tip chord length). See Wing Geometry reference sheet for equation.</t>
  </si>
  <si>
    <t xml:space="preserve">Leading edge sweep of the vertical stabilizer #2.</t>
  </si>
  <si>
    <t xml:space="preserve">Estimate of the mean aerodynamic chord of the vertical stabilizer #2.  Can roughly estimate by taking the average of the root chord and tip chord of the vertical stabilizer.  Utilized to determine Reynolds number effects for vertical tail.</t>
  </si>
  <si>
    <t xml:space="preserve">Vertical stabilizer #2 interference factor.  Accounts for increase in drag due to the complex interaction of the air flow at the junction of the vertical stabilizer and fuselage.  Typical values range from 1.1 (smoothly integrated/filleted) to 1.4 (poorly integrated / filleted integration).</t>
  </si>
  <si>
    <t xml:space="preserve">Material used to fabricate vertial stabilizer #2  Options limited to those listed in "Material" tab.</t>
  </si>
  <si>
    <t xml:space="preserve">Airfoil_Data</t>
  </si>
  <si>
    <t xml:space="preserve">Airfoil_w</t>
  </si>
  <si>
    <t xml:space="preserve">Main wing airfoil name.</t>
  </si>
  <si>
    <t xml:space="preserve">Thick_w</t>
  </si>
  <si>
    <t xml:space="preserve">Main wing airfoil thickness to chord ratio.</t>
  </si>
  <si>
    <t xml:space="preserve">X_thick_w</t>
  </si>
  <si>
    <t xml:space="preserve">Main wing airfoil location of max thickness in percent chord.</t>
  </si>
  <si>
    <t xml:space="preserve">Cl_XXX</t>
  </si>
  <si>
    <t xml:space="preserve">2D airfoil coefficient of lift data from -5 deg AoA to 12 deg AoA (as denoted by value XXX after the Cl_)</t>
  </si>
  <si>
    <t xml:space="preserve">Cd_XXX</t>
  </si>
  <si>
    <t xml:space="preserve">2D airfoil coefficient of drag data from -5 deg AoA to 12 deg AoA (as denoted by value XXX after the Cd_)</t>
  </si>
  <si>
    <t xml:space="preserve">Cd_min</t>
  </si>
  <si>
    <t xml:space="preserve">Minimum value of airfoil coefficient of drag data.</t>
  </si>
  <si>
    <t xml:space="preserve">Airfoil_h1</t>
  </si>
  <si>
    <t xml:space="preserve">Horizontal stabilizer #1 airfoil name.</t>
  </si>
  <si>
    <t xml:space="preserve">Thick_h1</t>
  </si>
  <si>
    <t xml:space="preserve">Horizontal stabilizer #1 airfoil thickness to chord ratio.</t>
  </si>
  <si>
    <t xml:space="preserve">X_thick_h1</t>
  </si>
  <si>
    <t xml:space="preserve">Horizontal stabilizer #1 airfoil location of max thickness in percent chord.</t>
  </si>
  <si>
    <t xml:space="preserve">Airfoil_v1</t>
  </si>
  <si>
    <t xml:space="preserve">Vertical stabilizer #1 airfoil name.</t>
  </si>
  <si>
    <t xml:space="preserve">Thick_v1</t>
  </si>
  <si>
    <t xml:space="preserve">Vertical stabilizer #1 airfoil thickness to chord ratio.</t>
  </si>
  <si>
    <t xml:space="preserve">X_thick_v1</t>
  </si>
  <si>
    <t xml:space="preserve">Vertical stabilizer #1 airfoil location of max thickness in percent chord.</t>
  </si>
  <si>
    <t xml:space="preserve">Airfoil_v2</t>
  </si>
  <si>
    <t xml:space="preserve">Vertical stabilizer #2 airfoil name.</t>
  </si>
  <si>
    <t xml:space="preserve">Thick_v2</t>
  </si>
  <si>
    <t xml:space="preserve">Vertical stabilizer #2 airfoil thickness to chord ratio.</t>
  </si>
  <si>
    <t xml:space="preserve">X_thick_v2</t>
  </si>
  <si>
    <t xml:space="preserve">Vertical stabilizer #2 airfoil location of max thickness in percent chord.</t>
  </si>
  <si>
    <t xml:space="preserve">Component_Data</t>
  </si>
  <si>
    <t xml:space="preserve">g</t>
  </si>
  <si>
    <t xml:space="preserve">Measured mass of nosecone.  Set to zero prior to fabrication to estimate using weight model.</t>
  </si>
  <si>
    <t xml:space="preserve">Longitudinal location of nosecone CG.</t>
  </si>
  <si>
    <t xml:space="preserve">Measured mass of fuselage (w/out nosecone).  Set to zero prior to fabrication to estimate using weight model.</t>
  </si>
  <si>
    <t xml:space="preserve">Longitudinal location of fuselage CG.  If set to zero, assumes at half the fuselage length.</t>
  </si>
  <si>
    <t xml:space="preserve">Measured mass of wing.  Set to zero prior to fabrication to estimate using weight model.</t>
  </si>
  <si>
    <t xml:space="preserve">Longitudinal location of wing leading edge at root chord based on configuration design.  DO NOT LEAVE AT ZERO.</t>
  </si>
  <si>
    <t xml:space="preserve">Longitudinal location of wing CG.  If set to zero, models based on wing leading edge position + 30% of MAC.</t>
  </si>
  <si>
    <t xml:space="preserve">Measured mass of horz stabilizer #1.  Set to zero prior to fabrication to estimate using weight model.</t>
  </si>
  <si>
    <t xml:space="preserve">Longitudinal location of horiz stabilizer #1 leading edge at root chord based on configuration design.  DO NOT LEAVE AT ZERO UNLESS NOT PRESENT.</t>
  </si>
  <si>
    <t xml:space="preserve">Longitudinal location of horz stabilizer #1 CG.  If set to zero, models based on tail leading edge position + 30% of MAC.</t>
  </si>
  <si>
    <t xml:space="preserve">Measured mass of vertical stabilizer #1.  Set to zero prior to fabrication to estimate using weight model.</t>
  </si>
  <si>
    <t xml:space="preserve">Longitudinal location of vertical stabilizer #1 leading edge at root chord based on configuration design.  DO NOT LEAVE AT ZERO UNLESS NOT PRESENT.</t>
  </si>
  <si>
    <t xml:space="preserve">Longitudinal location of vertical stabilizer #1 CG. If set to zero, models based on tail leading edge position + 30% of MAC.</t>
  </si>
  <si>
    <t xml:space="preserve">Measured mass of vertical stabilizer #2.  Set to zero prior to fabrication to estimate using weight model.</t>
  </si>
  <si>
    <t xml:space="preserve">Longitudinal location of vertical stabilizer #2 leading edge at root chord based on configuration design.  DO NOT LEAVE AT ZERO UNLESS NOT PRESENT.</t>
  </si>
  <si>
    <t xml:space="preserve">Longitudinal location of vertical stabilizer #2 CG. If set to zero, models based on tail leading edge position + 30% of MAC.</t>
  </si>
  <si>
    <t xml:space="preserve">Measured mass of payload.  Must be manually defined (no model).</t>
  </si>
  <si>
    <t xml:space="preserve">Longitudinal location of payload CG. Must be manually defined (no model)</t>
  </si>
  <si>
    <t xml:space="preserve">Measured mass of ballast. Must be manually defined (no model)</t>
  </si>
  <si>
    <t xml:space="preserve">Longitudinal location of ballast CG. Must be manually defined (no model)</t>
  </si>
  <si>
    <t xml:space="preserve">Config</t>
  </si>
  <si>
    <t xml:space="preserve">altitude_o</t>
  </si>
  <si>
    <t xml:space="preserve">V_o</t>
  </si>
  <si>
    <t xml:space="preserve">Length_f</t>
  </si>
  <si>
    <t xml:space="preserve">Dia_f</t>
  </si>
  <si>
    <t xml:space="preserve">Fine_f</t>
  </si>
  <si>
    <t xml:space="preserve">Thick_f</t>
  </si>
  <si>
    <t xml:space="preserve">Amax_f</t>
  </si>
  <si>
    <t xml:space="preserve">Abase_f</t>
  </si>
  <si>
    <t xml:space="preserve">Swet_f</t>
  </si>
  <si>
    <t xml:space="preserve">Q_f</t>
  </si>
  <si>
    <t xml:space="preserve">Fuse_Mat</t>
  </si>
  <si>
    <t xml:space="preserve">Sref_w</t>
  </si>
  <si>
    <t xml:space="preserve">Swet_w</t>
  </si>
  <si>
    <t xml:space="preserve">AR_w</t>
  </si>
  <si>
    <t xml:space="preserve">Taper_w</t>
  </si>
  <si>
    <t xml:space="preserve">Sweep_w</t>
  </si>
  <si>
    <t xml:space="preserve">QuarterSweep_w</t>
  </si>
  <si>
    <t xml:space="preserve">Q_w</t>
  </si>
  <si>
    <t xml:space="preserve">Wing_Mat</t>
  </si>
  <si>
    <t xml:space="preserve">Sref-h1</t>
  </si>
  <si>
    <t xml:space="preserve">Swet_h1</t>
  </si>
  <si>
    <t xml:space="preserve">AR_h1</t>
  </si>
  <si>
    <t xml:space="preserve">Taper_h1</t>
  </si>
  <si>
    <t xml:space="preserve">Sweep_h1</t>
  </si>
  <si>
    <t xml:space="preserve">MAC_h1</t>
  </si>
  <si>
    <t xml:space="preserve">Q_h1</t>
  </si>
  <si>
    <t xml:space="preserve">h1_Mat</t>
  </si>
  <si>
    <t xml:space="preserve">Sref-v1</t>
  </si>
  <si>
    <t xml:space="preserve">Swet_v1</t>
  </si>
  <si>
    <t xml:space="preserve">AR_v1</t>
  </si>
  <si>
    <t xml:space="preserve">Taper_v1</t>
  </si>
  <si>
    <t xml:space="preserve">Sweep_v1</t>
  </si>
  <si>
    <t xml:space="preserve">MAC_v1</t>
  </si>
  <si>
    <t xml:space="preserve">Q_v1</t>
  </si>
  <si>
    <t xml:space="preserve">v1_Mat</t>
  </si>
  <si>
    <t xml:space="preserve">Sref-v2</t>
  </si>
  <si>
    <t xml:space="preserve">Swet_v2</t>
  </si>
  <si>
    <t xml:space="preserve">AR_v2</t>
  </si>
  <si>
    <t xml:space="preserve">Taper_v2</t>
  </si>
  <si>
    <t xml:space="preserve">Sweep_v2</t>
  </si>
  <si>
    <t xml:space="preserve">MAC_v2</t>
  </si>
  <si>
    <t xml:space="preserve">Q_v2</t>
  </si>
  <si>
    <t xml:space="preserve">v2_Mat</t>
  </si>
  <si>
    <t xml:space="preserve">Config1</t>
  </si>
  <si>
    <t xml:space="preserve">rhoA_foamboard</t>
  </si>
  <si>
    <t xml:space="preserve">Cl_neg5</t>
  </si>
  <si>
    <t xml:space="preserve">Cl_neg4</t>
  </si>
  <si>
    <t xml:space="preserve">Cl_neg3</t>
  </si>
  <si>
    <t xml:space="preserve">Cl_neg2</t>
  </si>
  <si>
    <t xml:space="preserve">Cl_neg1</t>
  </si>
  <si>
    <t xml:space="preserve">Cl_0</t>
  </si>
  <si>
    <t xml:space="preserve">Cl_1</t>
  </si>
  <si>
    <t xml:space="preserve">Cl_2</t>
  </si>
  <si>
    <t xml:space="preserve">Cl_3</t>
  </si>
  <si>
    <t xml:space="preserve">Cl_4</t>
  </si>
  <si>
    <t xml:space="preserve">Cl_5</t>
  </si>
  <si>
    <t xml:space="preserve">Cl_6</t>
  </si>
  <si>
    <t xml:space="preserve">Cl_7</t>
  </si>
  <si>
    <t xml:space="preserve">Cl_8</t>
  </si>
  <si>
    <t xml:space="preserve">Cl_9</t>
  </si>
  <si>
    <t xml:space="preserve">Cl_10</t>
  </si>
  <si>
    <t xml:space="preserve">Cl_11</t>
  </si>
  <si>
    <t xml:space="preserve">Cl_12</t>
  </si>
  <si>
    <t xml:space="preserve">Cl_max</t>
  </si>
  <si>
    <t xml:space="preserve">Cd_neg5</t>
  </si>
  <si>
    <t xml:space="preserve">Cd_neg4</t>
  </si>
  <si>
    <t xml:space="preserve">Cd_neg3</t>
  </si>
  <si>
    <t xml:space="preserve">Cd_neg2</t>
  </si>
  <si>
    <t xml:space="preserve">Cd_neg1</t>
  </si>
  <si>
    <t xml:space="preserve">Cd_0</t>
  </si>
  <si>
    <t xml:space="preserve">Cd_1</t>
  </si>
  <si>
    <t xml:space="preserve">Cd_2</t>
  </si>
  <si>
    <t xml:space="preserve">Cd_3</t>
  </si>
  <si>
    <t xml:space="preserve">Cd_4</t>
  </si>
  <si>
    <t xml:space="preserve">Cd_5</t>
  </si>
  <si>
    <t xml:space="preserve">Cd_6</t>
  </si>
  <si>
    <t xml:space="preserve">Cd_7</t>
  </si>
  <si>
    <t xml:space="preserve">Cd_8</t>
  </si>
  <si>
    <t xml:space="preserve">Cd_9</t>
  </si>
  <si>
    <t xml:space="preserve">Cd_10</t>
  </si>
  <si>
    <t xml:space="preserve">Cd_11</t>
  </si>
  <si>
    <t xml:space="preserve">Cd_12</t>
  </si>
  <si>
    <t xml:space="preserve">m_nose</t>
  </si>
  <si>
    <t xml:space="preserve">Xcg_nose</t>
  </si>
  <si>
    <t xml:space="preserve">m_fuse</t>
  </si>
  <si>
    <t xml:space="preserve">Xcg_fuse</t>
  </si>
  <si>
    <t xml:space="preserve">m_wing</t>
  </si>
  <si>
    <t xml:space="preserve">X_LE_wing</t>
  </si>
  <si>
    <t xml:space="preserve">Xcg_wing</t>
  </si>
  <si>
    <t xml:space="preserve">m_h1</t>
  </si>
  <si>
    <t xml:space="preserve">X_LE_h1</t>
  </si>
  <si>
    <t xml:space="preserve">Xcg_h1</t>
  </si>
  <si>
    <t xml:space="preserve">m_v1</t>
  </si>
  <si>
    <t xml:space="preserve">X_LE_v1</t>
  </si>
  <si>
    <t xml:space="preserve">Xcg_v1</t>
  </si>
  <si>
    <t xml:space="preserve">m_v2</t>
  </si>
  <si>
    <t xml:space="preserve">X_LE_v2</t>
  </si>
  <si>
    <t xml:space="preserve">Xcg_v2</t>
  </si>
  <si>
    <t xml:space="preserve">m_pay</t>
  </si>
  <si>
    <t xml:space="preserve">Xcg_pay</t>
  </si>
  <si>
    <t xml:space="preserve">m_ballast</t>
  </si>
  <si>
    <t xml:space="preserve">Xcg_ballast</t>
  </si>
  <si>
    <t xml:space="preserve">rho_pinkfoam</t>
  </si>
  <si>
    <t xml:space="preserve">rho_PLA</t>
  </si>
  <si>
    <t xml:space="preserve">rho_LWPLA</t>
  </si>
  <si>
    <t xml:space="preserve">rho_balsa</t>
  </si>
  <si>
    <t xml:space="preserve">rho_material_x</t>
  </si>
  <si>
    <t xml:space="preserve">rho_material_y</t>
  </si>
  <si>
    <t xml:space="preserve">NONE</t>
  </si>
  <si>
    <t xml:space="preserve">kg/m^3</t>
  </si>
  <si>
    <t xml:space="preserve">kg/m^2</t>
  </si>
  <si>
    <t xml:space="preserve">AoA</t>
  </si>
  <si>
    <t xml:space="preserve">CL</t>
  </si>
  <si>
    <t xml:space="preserve">CD</t>
  </si>
</sst>
</file>

<file path=xl/styles.xml><?xml version="1.0" encoding="utf-8"?>
<styleSheet xmlns="http://schemas.openxmlformats.org/spreadsheetml/2006/main">
  <numFmts count="2">
    <numFmt numFmtId="164" formatCode="General"/>
    <numFmt numFmtId="165" formatCode="0.0000"/>
  </numFmts>
  <fonts count="12">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
      <sz val="10"/>
      <name val="Arial"/>
      <family val="2"/>
    </font>
    <font>
      <sz val="9"/>
      <color rgb="FF000000"/>
      <name val="Tahoma"/>
      <family val="2"/>
      <charset val="1"/>
    </font>
    <font>
      <b val="true"/>
      <sz val="9"/>
      <color rgb="FF000000"/>
      <name val="Tahoma"/>
      <family val="2"/>
      <charset val="1"/>
    </font>
    <font>
      <sz val="9"/>
      <color rgb="FF000000"/>
      <name val="Tahoma"/>
      <family val="0"/>
      <charset val="1"/>
    </font>
    <font>
      <sz val="9"/>
      <color rgb="FF000000"/>
      <name val="Arial"/>
      <family val="2"/>
      <charset val="1"/>
    </font>
    <font>
      <b val="true"/>
      <i val="true"/>
      <sz val="9"/>
      <color rgb="FF000000"/>
      <name val="Arial"/>
      <family val="2"/>
      <charset val="1"/>
    </font>
    <font>
      <sz val="10"/>
      <color rgb="FF000000"/>
      <name val="Arial"/>
      <family val="2"/>
      <charset val="1"/>
    </font>
  </fonts>
  <fills count="11">
    <fill>
      <patternFill patternType="none"/>
    </fill>
    <fill>
      <patternFill patternType="gray125"/>
    </fill>
    <fill>
      <patternFill patternType="solid">
        <fgColor theme="8" tint="0.3999"/>
        <bgColor rgb="FF8FAADC"/>
      </patternFill>
    </fill>
    <fill>
      <patternFill patternType="solid">
        <fgColor theme="3" tint="0.7999"/>
        <bgColor rgb="FFD9D9D9"/>
      </patternFill>
    </fill>
    <fill>
      <patternFill patternType="solid">
        <fgColor theme="4" tint="0.3999"/>
        <bgColor rgb="FF9DC3E6"/>
      </patternFill>
    </fill>
    <fill>
      <patternFill patternType="solid">
        <fgColor theme="5" tint="0.7999"/>
        <bgColor rgb="FFD9D9D9"/>
      </patternFill>
    </fill>
    <fill>
      <patternFill patternType="solid">
        <fgColor theme="5" tint="0.3999"/>
        <bgColor rgb="FFFF99CC"/>
      </patternFill>
    </fill>
    <fill>
      <patternFill patternType="solid">
        <fgColor theme="9" tint="0.5999"/>
        <bgColor rgb="FFD9D9D9"/>
      </patternFill>
    </fill>
    <fill>
      <patternFill patternType="solid">
        <fgColor theme="1"/>
        <bgColor rgb="FF003300"/>
      </patternFill>
    </fill>
    <fill>
      <patternFill patternType="solid">
        <fgColor theme="0" tint="-0.15"/>
        <bgColor rgb="FFD6DCE5"/>
      </patternFill>
    </fill>
    <fill>
      <patternFill patternType="solid">
        <fgColor rgb="FFFFFF00"/>
        <bgColor rgb="FFFFFF00"/>
      </patternFill>
    </fill>
  </fills>
  <borders count="7">
    <border diagonalUp="false" diagonalDown="false">
      <left/>
      <right/>
      <top/>
      <bottom/>
      <diagonal/>
    </border>
    <border diagonalUp="false" diagonalDown="false">
      <left style="thin"/>
      <right style="thin"/>
      <top style="thin"/>
      <bottom style="thin"/>
      <diagonal/>
    </border>
    <border diagonalUp="false" diagonalDown="false">
      <left style="thin"/>
      <right style="thin"/>
      <top/>
      <bottom/>
      <diagonal/>
    </border>
    <border diagonalUp="false" diagonalDown="false">
      <left style="medium"/>
      <right style="medium"/>
      <top style="medium"/>
      <bottom style="medium"/>
      <diagonal/>
    </border>
    <border diagonalUp="false" diagonalDown="false">
      <left/>
      <right style="medium"/>
      <top style="medium"/>
      <bottom style="medium"/>
      <diagonal/>
    </border>
    <border diagonalUp="false" diagonalDown="false">
      <left style="medium"/>
      <right style="medium"/>
      <top/>
      <bottom style="medium"/>
      <diagonal/>
    </border>
    <border diagonalUp="false" diagonalDown="false">
      <left/>
      <right style="medium"/>
      <top/>
      <bottom style="mediu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center"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4" fillId="2" borderId="1" xfId="0" applyFont="true" applyBorder="true" applyAlignment="true" applyProtection="true">
      <alignment horizontal="general" vertical="bottom" textRotation="0" wrapText="false" indent="0" shrinkToFit="false"/>
      <protection locked="true" hidden="false"/>
    </xf>
    <xf numFmtId="164" fontId="4" fillId="2" borderId="1" xfId="0" applyFont="true" applyBorder="true" applyAlignment="true" applyProtection="true">
      <alignment horizontal="center" vertical="bottom" textRotation="0" wrapText="false" indent="0" shrinkToFit="false"/>
      <protection locked="true" hidden="false"/>
    </xf>
    <xf numFmtId="164" fontId="4" fillId="2" borderId="1" xfId="0" applyFont="true" applyBorder="true" applyAlignment="true" applyProtection="true">
      <alignment horizontal="center" vertical="bottom" textRotation="0" wrapText="true" indent="0" shrinkToFit="false"/>
      <protection locked="true" hidden="false"/>
    </xf>
    <xf numFmtId="164" fontId="0" fillId="0" borderId="1" xfId="0" applyFont="true" applyBorder="true" applyAlignment="true" applyProtection="true">
      <alignment horizontal="general" vertical="bottom" textRotation="0" wrapText="false" indent="0" shrinkToFit="false"/>
      <protection locked="true" hidden="false"/>
    </xf>
    <xf numFmtId="164" fontId="0" fillId="0" borderId="1" xfId="0" applyFont="true" applyBorder="true" applyAlignment="true" applyProtection="true">
      <alignment horizontal="center" vertical="bottom" textRotation="0" wrapText="false" indent="0" shrinkToFit="false"/>
      <protection locked="true" hidden="false"/>
    </xf>
    <xf numFmtId="164" fontId="0" fillId="0" borderId="1" xfId="0" applyFont="true" applyBorder="true" applyAlignment="true" applyProtection="true">
      <alignment horizontal="general" vertical="bottom" textRotation="0" wrapText="true" indent="0" shrinkToFit="false"/>
      <protection locked="true" hidden="false"/>
    </xf>
    <xf numFmtId="164" fontId="0" fillId="3" borderId="1" xfId="0" applyFont="true" applyBorder="true" applyAlignment="true" applyProtection="true">
      <alignment horizontal="center" vertical="bottom" textRotation="0" wrapText="false" indent="0" shrinkToFit="false"/>
      <protection locked="true" hidden="false"/>
    </xf>
    <xf numFmtId="164" fontId="0" fillId="4" borderId="1" xfId="0" applyFont="true" applyBorder="true" applyAlignment="true" applyProtection="true">
      <alignment horizontal="center" vertical="bottom" textRotation="0" wrapText="false" indent="0" shrinkToFit="false"/>
      <protection locked="true" hidden="false"/>
    </xf>
    <xf numFmtId="164" fontId="0" fillId="5" borderId="1" xfId="0" applyFont="true" applyBorder="true" applyAlignment="true" applyProtection="true">
      <alignment horizontal="center" vertical="bottom" textRotation="0" wrapText="false" indent="0" shrinkToFit="false"/>
      <protection locked="true" hidden="false"/>
    </xf>
    <xf numFmtId="164" fontId="0" fillId="6" borderId="1" xfId="0" applyFont="true" applyBorder="true" applyAlignment="true" applyProtection="true">
      <alignment horizontal="center" vertical="bottom" textRotation="0" wrapText="false" indent="0" shrinkToFit="false"/>
      <protection locked="true" hidden="false"/>
    </xf>
    <xf numFmtId="164" fontId="0" fillId="7" borderId="1" xfId="0" applyFont="true" applyBorder="true" applyAlignment="true" applyProtection="true">
      <alignment horizontal="center" vertical="bottom" textRotation="0" wrapText="false" indent="0" shrinkToFit="false"/>
      <protection locked="true" hidden="false"/>
    </xf>
    <xf numFmtId="164" fontId="0" fillId="0" borderId="1" xfId="0" applyFont="false" applyBorder="true" applyAlignment="true" applyProtection="true">
      <alignment horizontal="center" vertical="bottom" textRotation="0" wrapText="false" indent="0" shrinkToFit="false"/>
      <protection locked="true" hidden="false"/>
    </xf>
    <xf numFmtId="164" fontId="0" fillId="8" borderId="1" xfId="0" applyFont="false" applyBorder="true" applyAlignment="true" applyProtection="true">
      <alignment horizontal="center" vertical="bottom" textRotation="0" wrapText="false" indent="0" shrinkToFit="false"/>
      <protection locked="true" hidden="false"/>
    </xf>
    <xf numFmtId="164" fontId="0" fillId="0" borderId="1" xfId="0" applyFont="false" applyBorder="true" applyAlignment="true" applyProtection="true">
      <alignment horizontal="center" vertical="center" textRotation="0" wrapText="false" indent="0" shrinkToFit="false"/>
      <protection locked="true" hidden="false"/>
    </xf>
    <xf numFmtId="164" fontId="4" fillId="7" borderId="1" xfId="0" applyFont="true" applyBorder="true" applyAlignment="true" applyProtection="true">
      <alignment horizontal="center" vertical="center" textRotation="0" wrapText="false" indent="0" shrinkToFit="false"/>
      <protection locked="true" hidden="false"/>
    </xf>
    <xf numFmtId="165" fontId="0" fillId="0" borderId="1" xfId="0" applyFont="false" applyBorder="true" applyAlignment="true" applyProtection="true">
      <alignment horizontal="center" vertical="center" textRotation="0" wrapText="false" indent="0" shrinkToFit="false"/>
      <protection locked="true" hidden="false"/>
    </xf>
    <xf numFmtId="164" fontId="0" fillId="8" borderId="1" xfId="0" applyFont="false" applyBorder="true" applyAlignment="true" applyProtection="true">
      <alignment horizontal="center" vertical="center" textRotation="0" wrapText="false" indent="0" shrinkToFit="false"/>
      <protection locked="true" hidden="false"/>
    </xf>
    <xf numFmtId="164" fontId="4" fillId="9" borderId="1" xfId="0" applyFont="true" applyBorder="true" applyAlignment="true" applyProtection="true">
      <alignment horizontal="center" vertical="bottom" textRotation="0" wrapText="false" indent="0" shrinkToFit="false"/>
      <protection locked="true" hidden="false"/>
    </xf>
    <xf numFmtId="164" fontId="4" fillId="10" borderId="1" xfId="0" applyFont="true" applyBorder="true" applyAlignment="true" applyProtection="true">
      <alignment horizontal="center" vertical="bottom" textRotation="0" wrapText="false" indent="0" shrinkToFit="false"/>
      <protection locked="true" hidden="false"/>
    </xf>
    <xf numFmtId="164" fontId="0" fillId="8" borderId="0" xfId="0" applyFont="false" applyBorder="false" applyAlignment="true" applyProtection="true">
      <alignment horizontal="center" vertical="bottom" textRotation="0" wrapText="false" indent="0" shrinkToFit="false"/>
      <protection locked="true" hidden="false"/>
    </xf>
    <xf numFmtId="164" fontId="4" fillId="2" borderId="2" xfId="0" applyFont="true" applyBorder="true" applyAlignment="true" applyProtection="true">
      <alignment horizontal="general" vertical="bottom" textRotation="0" wrapText="false" indent="0" shrinkToFit="false"/>
      <protection locked="true" hidden="false"/>
    </xf>
    <xf numFmtId="164" fontId="4" fillId="2" borderId="2" xfId="0" applyFont="true" applyBorder="true" applyAlignment="true" applyProtection="true">
      <alignment horizontal="center" vertical="bottom" textRotation="0" wrapText="false" indent="0" shrinkToFit="false"/>
      <protection locked="true" hidden="false"/>
    </xf>
    <xf numFmtId="164" fontId="0" fillId="10" borderId="1" xfId="0" applyFont="false" applyBorder="true" applyAlignment="true" applyProtection="true">
      <alignment horizontal="center" vertical="bottom" textRotation="0" wrapText="false" indent="0" shrinkToFit="false"/>
      <protection locked="true" hidden="false"/>
    </xf>
    <xf numFmtId="164" fontId="9" fillId="2" borderId="3" xfId="0" applyFont="true" applyBorder="true" applyAlignment="true" applyProtection="true">
      <alignment horizontal="center" vertical="center" textRotation="0" wrapText="true" indent="0" shrinkToFit="false"/>
      <protection locked="true" hidden="false"/>
    </xf>
    <xf numFmtId="164" fontId="10" fillId="2" borderId="4" xfId="0" applyFont="true" applyBorder="true" applyAlignment="true" applyProtection="true">
      <alignment horizontal="center" vertical="center" textRotation="0" wrapText="true" indent="0" shrinkToFit="false"/>
      <protection locked="true" hidden="false"/>
    </xf>
    <xf numFmtId="164" fontId="9" fillId="0" borderId="5" xfId="0" applyFont="true" applyBorder="true" applyAlignment="true" applyProtection="true">
      <alignment horizontal="center" vertical="center" textRotation="0" wrapText="true" indent="0" shrinkToFit="false"/>
      <protection locked="true" hidden="false"/>
    </xf>
    <xf numFmtId="164" fontId="9" fillId="0" borderId="6" xfId="0" applyFont="true" applyBorder="true" applyAlignment="true" applyProtection="true">
      <alignment horizontal="center" vertical="center" textRotation="0" wrapText="tru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11" fillId="0" borderId="0" xfId="0" applyFont="true" applyBorder="false" applyAlignment="true" applyProtection="true">
      <alignment horizontal="general"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9D9D9"/>
      <rgbColor rgb="FF808080"/>
      <rgbColor rgb="FF8FAADC"/>
      <rgbColor rgb="FF993366"/>
      <rgbColor rgb="FFFBE5D6"/>
      <rgbColor rgb="FFCCFFFF"/>
      <rgbColor rgb="FF660066"/>
      <rgbColor rgb="FFFF8080"/>
      <rgbColor rgb="FF0066CC"/>
      <rgbColor rgb="FFD6DCE5"/>
      <rgbColor rgb="FF000080"/>
      <rgbColor rgb="FFFF00FF"/>
      <rgbColor rgb="FFFFFF00"/>
      <rgbColor rgb="FF00FFFF"/>
      <rgbColor rgb="FF800080"/>
      <rgbColor rgb="FF800000"/>
      <rgbColor rgb="FF008080"/>
      <rgbColor rgb="FF0000FF"/>
      <rgbColor rgb="FF00CCFF"/>
      <rgbColor rgb="FFCCFFFF"/>
      <rgbColor rgb="FFC5E0B4"/>
      <rgbColor rgb="FFFFFF99"/>
      <rgbColor rgb="FF9DC3E6"/>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externalLink" Target="externalLinks/externalLink1.xml"/><Relationship Id="rId11"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svg"/>
</Relationships>
</file>

<file path=xl/drawings/_rels/drawing2.xml.rels><?xml version="1.0" encoding="UTF-8"?>
<Relationships xmlns="http://schemas.openxmlformats.org/package/2006/relationships"><Relationship Id="rId1" Type="http://schemas.openxmlformats.org/officeDocument/2006/relationships/image" Target="../media/image3.jpeg"/><Relationship Id="rId2" Type="http://schemas.openxmlformats.org/officeDocument/2006/relationships/image" Target="../media/image4.jpeg"/>
</Relationships>
</file>

<file path=xl/drawings/_rels/drawing3.xml.rels><?xml version="1.0" encoding="UTF-8"?>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6.svg"/><Relationship Id="rId3" Type="http://schemas.openxmlformats.org/officeDocument/2006/relationships/image" Target="../media/image7.png"/><Relationship Id="rId4" Type="http://schemas.openxmlformats.org/officeDocument/2006/relationships/image" Target="../media/image8.svg"/><Relationship Id="rId5" Type="http://schemas.openxmlformats.org/officeDocument/2006/relationships/image" Target="../media/image9.png"/><Relationship Id="rId6" Type="http://schemas.openxmlformats.org/officeDocument/2006/relationships/image" Target="../media/image10.sv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22</xdr:row>
      <xdr:rowOff>0</xdr:rowOff>
    </xdr:from>
    <xdr:to>
      <xdr:col>25</xdr:col>
      <xdr:colOff>151560</xdr:colOff>
      <xdr:row>66</xdr:row>
      <xdr:rowOff>189720</xdr:rowOff>
    </xdr:to>
    <xdr:pic>
      <xdr:nvPicPr>
        <xdr:cNvPr id="0" name="Graphic 2" descr=""/>
        <xdr:cNvPicPr/>
      </xdr:nvPicPr>
      <xdr:blipFill>
        <a:blip r:embed="rId1">
          <a:extLst>
            <a:ext uri="{96DAC541-7B7A-43D3-8B79-37D633B846F1}">
              <asvg:svgBlip xmlns:asvg="http://schemas.microsoft.com/office/drawing/2016/SVG/main" r:embed="rId2"/>
            </a:ext>
          </a:extLst>
        </a:blip>
        <a:stretch/>
      </xdr:blipFill>
      <xdr:spPr>
        <a:xfrm>
          <a:off x="0" y="4191120"/>
          <a:ext cx="18256680" cy="857160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0</xdr:colOff>
      <xdr:row>0</xdr:row>
      <xdr:rowOff>0</xdr:rowOff>
    </xdr:from>
    <xdr:to>
      <xdr:col>15</xdr:col>
      <xdr:colOff>92880</xdr:colOff>
      <xdr:row>20</xdr:row>
      <xdr:rowOff>189720</xdr:rowOff>
    </xdr:to>
    <xdr:pic>
      <xdr:nvPicPr>
        <xdr:cNvPr id="1" name="Picture 1" descr=""/>
        <xdr:cNvPicPr/>
      </xdr:nvPicPr>
      <xdr:blipFill>
        <a:blip r:embed="rId1"/>
        <a:stretch/>
      </xdr:blipFill>
      <xdr:spPr>
        <a:xfrm>
          <a:off x="2750760" y="0"/>
          <a:ext cx="7657560" cy="3999600"/>
        </a:xfrm>
        <a:prstGeom prst="rect">
          <a:avLst/>
        </a:prstGeom>
        <a:ln w="0">
          <a:noFill/>
        </a:ln>
      </xdr:spPr>
    </xdr:pic>
    <xdr:clientData/>
  </xdr:twoCellAnchor>
  <xdr:twoCellAnchor editAs="oneCell">
    <xdr:from>
      <xdr:col>15</xdr:col>
      <xdr:colOff>133200</xdr:colOff>
      <xdr:row>0</xdr:row>
      <xdr:rowOff>66600</xdr:rowOff>
    </xdr:from>
    <xdr:to>
      <xdr:col>22</xdr:col>
      <xdr:colOff>578160</xdr:colOff>
      <xdr:row>21</xdr:row>
      <xdr:rowOff>27720</xdr:rowOff>
    </xdr:to>
    <xdr:pic>
      <xdr:nvPicPr>
        <xdr:cNvPr id="2" name="Picture 2" descr=""/>
        <xdr:cNvPicPr/>
      </xdr:nvPicPr>
      <xdr:blipFill>
        <a:blip r:embed="rId2"/>
        <a:stretch/>
      </xdr:blipFill>
      <xdr:spPr>
        <a:xfrm>
          <a:off x="10448640" y="66600"/>
          <a:ext cx="5258880" cy="3961800"/>
        </a:xfrm>
        <a:prstGeom prst="rect">
          <a:avLst/>
        </a:prstGeom>
        <a:ln w="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19</xdr:col>
      <xdr:colOff>243000</xdr:colOff>
      <xdr:row>36</xdr:row>
      <xdr:rowOff>68040</xdr:rowOff>
    </xdr:to>
    <xdr:pic>
      <xdr:nvPicPr>
        <xdr:cNvPr id="3" name="Graphic 1" descr=""/>
        <xdr:cNvPicPr/>
      </xdr:nvPicPr>
      <xdr:blipFill>
        <a:blip r:embed="rId1">
          <a:extLst>
            <a:ext uri="{96DAC541-7B7A-43D3-8B79-37D633B846F1}">
              <asvg:svgBlip xmlns:asvg="http://schemas.microsoft.com/office/drawing/2016/SVG/main" r:embed="rId2"/>
            </a:ext>
          </a:extLst>
        </a:blip>
        <a:stretch/>
      </xdr:blipFill>
      <xdr:spPr>
        <a:xfrm>
          <a:off x="0" y="0"/>
          <a:ext cx="13309560" cy="6926040"/>
        </a:xfrm>
        <a:prstGeom prst="rect">
          <a:avLst/>
        </a:prstGeom>
        <a:ln w="0">
          <a:noFill/>
        </a:ln>
      </xdr:spPr>
    </xdr:pic>
    <xdr:clientData/>
  </xdr:twoCellAnchor>
  <xdr:twoCellAnchor editAs="oneCell">
    <xdr:from>
      <xdr:col>0</xdr:col>
      <xdr:colOff>0</xdr:colOff>
      <xdr:row>73</xdr:row>
      <xdr:rowOff>182880</xdr:rowOff>
    </xdr:from>
    <xdr:to>
      <xdr:col>19</xdr:col>
      <xdr:colOff>212760</xdr:colOff>
      <xdr:row>110</xdr:row>
      <xdr:rowOff>50760</xdr:rowOff>
    </xdr:to>
    <xdr:pic>
      <xdr:nvPicPr>
        <xdr:cNvPr id="4" name="Graphic 3" descr=""/>
        <xdr:cNvPicPr/>
      </xdr:nvPicPr>
      <xdr:blipFill>
        <a:blip r:embed="rId3">
          <a:extLst>
            <a:ext uri="{96DAC541-7B7A-43D3-8B79-37D633B846F1}">
              <asvg:svgBlip xmlns:asvg="http://schemas.microsoft.com/office/drawing/2016/SVG/main" r:embed="rId4"/>
            </a:ext>
          </a:extLst>
        </a:blip>
        <a:stretch/>
      </xdr:blipFill>
      <xdr:spPr>
        <a:xfrm>
          <a:off x="0" y="14089320"/>
          <a:ext cx="13279320" cy="6916320"/>
        </a:xfrm>
        <a:prstGeom prst="rect">
          <a:avLst/>
        </a:prstGeom>
        <a:ln w="0">
          <a:noFill/>
        </a:ln>
      </xdr:spPr>
    </xdr:pic>
    <xdr:clientData/>
  </xdr:twoCellAnchor>
  <xdr:twoCellAnchor editAs="oneCell">
    <xdr:from>
      <xdr:col>0</xdr:col>
      <xdr:colOff>28440</xdr:colOff>
      <xdr:row>36</xdr:row>
      <xdr:rowOff>162000</xdr:rowOff>
    </xdr:from>
    <xdr:to>
      <xdr:col>19</xdr:col>
      <xdr:colOff>219600</xdr:colOff>
      <xdr:row>72</xdr:row>
      <xdr:rowOff>190800</xdr:rowOff>
    </xdr:to>
    <xdr:pic>
      <xdr:nvPicPr>
        <xdr:cNvPr id="5" name="Graphic 4" descr=""/>
        <xdr:cNvPicPr/>
      </xdr:nvPicPr>
      <xdr:blipFill>
        <a:blip r:embed="rId5">
          <a:extLst>
            <a:ext uri="{96DAC541-7B7A-43D3-8B79-37D633B846F1}">
              <asvg:svgBlip xmlns:asvg="http://schemas.microsoft.com/office/drawing/2016/SVG/main" r:embed="rId6"/>
            </a:ext>
          </a:extLst>
        </a:blip>
        <a:stretch/>
      </xdr:blipFill>
      <xdr:spPr>
        <a:xfrm>
          <a:off x="28440" y="7020000"/>
          <a:ext cx="13257720" cy="6886800"/>
        </a:xfrm>
        <a:prstGeom prst="rect">
          <a:avLst/>
        </a:prstGeom>
        <a:ln w="0">
          <a:noFill/>
        </a:ln>
      </xdr:spPr>
    </xdr:pic>
    <xdr:clientData/>
  </xdr:twoCellAnchor>
</xdr:wsDr>
</file>

<file path=xl/externalLinks/_rels/externalLink1.xml.rels><?xml version="1.0" encoding="UTF-8"?>
<Relationships xmlns="http://schemas.openxmlformats.org/package/2006/relationships"><Relationship Id="rId1" Type="http://schemas.openxmlformats.org/officeDocument/2006/relationships/externalLinkPath" Target="Design%20Input%20File_Instructor_V25-00.xlsx" TargetMode="External"/>
</Relationships>
</file>

<file path=xl/externalLinks/externalLink1.xml><?xml version="1.0" encoding="utf-8"?>
<externalLink xmlns="http://schemas.openxmlformats.org/spreadsheetml/2006/main">
  <externalBook xmlns:r="http://schemas.openxmlformats.org/officeDocument/2006/relationships" r:id="rId1">
    <sheetNames>
      <sheetName val="Variable Reference"/>
      <sheetName val="Main_Input"/>
      <sheetName val="Airfoil_Data"/>
      <sheetName val="Component_Data"/>
      <sheetName val="Materials"/>
      <sheetName val="Benchmark_Truth"/>
      <sheetName val="Geometry Reference"/>
    </sheetNames>
    <sheetDataSet>
      <sheetData sheetId="0"/>
      <sheetData sheetId="1"/>
      <sheetData sheetId="2"/>
      <sheetData sheetId="3"/>
      <sheetData sheetId="4"/>
      <sheetData sheetId="5"/>
      <sheetData sheetId="6"/>
    </sheetDataSet>
  </externalBook>
</externalLink>
</file>

<file path=xl/theme/theme1.xml><?xml version="1.0" encoding="utf-8"?>
<a:theme xmlns:a="http://schemas.openxmlformats.org/drawingml/2006/main" xmlns:r="http://schemas.openxmlformats.org/officeDocument/2006/relationships" name="Office 2013 - 2022 Theme">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1.xml"/><Relationship Id="rId3" Type="http://schemas.openxmlformats.org/officeDocument/2006/relationships/vmlDrawing" Target="../drawings/vmlDrawing2.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3.vml"/>
</Relationships>
</file>

<file path=xl/worksheets/_rels/sheet6.xml.rels><?xml version="1.0" encoding="UTF-8"?>
<Relationships xmlns="http://schemas.openxmlformats.org/package/2006/relationships"><Relationship Id="rId1" Type="http://schemas.openxmlformats.org/officeDocument/2006/relationships/drawing" Target="../drawings/drawing2.xml"/>
</Relationships>
</file>

<file path=xl/worksheets/_rels/sheet7.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81"/>
  <sheetViews>
    <sheetView showFormulas="false" showGridLines="true" showRowColHeaders="true" showZeros="true" rightToLeft="false" tabSelected="false" showOutlineSymbols="true" defaultGridColor="true" view="normal" topLeftCell="A1" colorId="64" zoomScale="99" zoomScaleNormal="99" zoomScalePageLayoutView="100" workbookViewId="0">
      <selection pane="topLeft" activeCell="B15" activeCellId="1" sqref="AR2 B15"/>
    </sheetView>
  </sheetViews>
  <sheetFormatPr defaultColWidth="8.59765625" defaultRowHeight="15" zeroHeight="false" outlineLevelRow="0" outlineLevelCol="0"/>
  <cols>
    <col collapsed="false" customWidth="true" hidden="false" outlineLevel="0" max="1" min="1" style="1" width="16.57"/>
    <col collapsed="false" customWidth="true" hidden="false" outlineLevel="0" max="2" min="2" style="1" width="13.86"/>
    <col collapsed="false" customWidth="true" hidden="false" outlineLevel="0" max="3" min="3" style="2" width="11.28"/>
    <col collapsed="false" customWidth="true" hidden="false" outlineLevel="0" max="4" min="4" style="3" width="108.86"/>
    <col collapsed="false" customWidth="true" hidden="false" outlineLevel="0" max="5" min="5" style="1" width="24.29"/>
  </cols>
  <sheetData>
    <row r="1" customFormat="false" ht="16.4" hidden="false" customHeight="false" outlineLevel="0" collapsed="false">
      <c r="A1" s="4" t="s">
        <v>0</v>
      </c>
      <c r="B1" s="5" t="s">
        <v>1</v>
      </c>
      <c r="C1" s="5" t="s">
        <v>2</v>
      </c>
      <c r="D1" s="6" t="s">
        <v>3</v>
      </c>
    </row>
    <row r="2" customFormat="false" ht="16.4" hidden="false" customHeight="false" outlineLevel="0" collapsed="false">
      <c r="A2" s="7" t="s">
        <v>4</v>
      </c>
      <c r="B2" s="7" t="str">
        <f aca="false" t="array" ref="B2:B45">TRANSPOSE(Main_Input!A1:AR1)</f>
        <v>Config</v>
      </c>
      <c r="C2" s="8" t="s">
        <v>5</v>
      </c>
      <c r="D2" s="9" t="s">
        <v>6</v>
      </c>
    </row>
    <row r="3" customFormat="false" ht="16.4" hidden="false" customHeight="false" outlineLevel="0" collapsed="false">
      <c r="A3" s="7" t="s">
        <v>4</v>
      </c>
      <c r="B3" s="7" t="str">
        <v>altitude_o</v>
      </c>
      <c r="C3" s="8" t="s">
        <v>7</v>
      </c>
      <c r="D3" s="9" t="s">
        <v>8</v>
      </c>
    </row>
    <row r="4" customFormat="false" ht="31.3" hidden="false" customHeight="false" outlineLevel="0" collapsed="false">
      <c r="A4" s="7" t="s">
        <v>4</v>
      </c>
      <c r="B4" s="7" t="str">
        <v>V_o</v>
      </c>
      <c r="C4" s="8" t="s">
        <v>9</v>
      </c>
      <c r="D4" s="9" t="s">
        <v>10</v>
      </c>
    </row>
    <row r="5" customFormat="false" ht="16.4" hidden="false" customHeight="false" outlineLevel="0" collapsed="false">
      <c r="A5" s="7" t="s">
        <v>4</v>
      </c>
      <c r="B5" s="7" t="str">
        <v>Length_f</v>
      </c>
      <c r="C5" s="8" t="s">
        <v>7</v>
      </c>
      <c r="D5" s="9" t="s">
        <v>11</v>
      </c>
    </row>
    <row r="6" customFormat="false" ht="16.4" hidden="false" customHeight="false" outlineLevel="0" collapsed="false">
      <c r="A6" s="7" t="s">
        <v>4</v>
      </c>
      <c r="B6" s="7" t="str">
        <v>Dia_f</v>
      </c>
      <c r="C6" s="8" t="s">
        <v>7</v>
      </c>
      <c r="D6" s="9" t="s">
        <v>12</v>
      </c>
    </row>
    <row r="7" customFormat="false" ht="16.4" hidden="false" customHeight="false" outlineLevel="0" collapsed="false">
      <c r="A7" s="7" t="s">
        <v>4</v>
      </c>
      <c r="B7" s="7" t="str">
        <v>Fine_f</v>
      </c>
      <c r="C7" s="8" t="s">
        <v>5</v>
      </c>
      <c r="D7" s="9" t="s">
        <v>13</v>
      </c>
    </row>
    <row r="8" customFormat="false" ht="16.4" hidden="false" customHeight="false" outlineLevel="0" collapsed="false">
      <c r="A8" s="7" t="s">
        <v>4</v>
      </c>
      <c r="B8" s="7" t="str">
        <v>Thick_f</v>
      </c>
      <c r="C8" s="8" t="s">
        <v>7</v>
      </c>
      <c r="D8" s="9" t="s">
        <v>14</v>
      </c>
    </row>
    <row r="9" customFormat="false" ht="16.4" hidden="false" customHeight="false" outlineLevel="0" collapsed="false">
      <c r="A9" s="7" t="s">
        <v>4</v>
      </c>
      <c r="B9" s="7" t="str">
        <v>Amax_f</v>
      </c>
      <c r="C9" s="8" t="s">
        <v>15</v>
      </c>
      <c r="D9" s="9" t="s">
        <v>16</v>
      </c>
    </row>
    <row r="10" customFormat="false" ht="31.3" hidden="false" customHeight="false" outlineLevel="0" collapsed="false">
      <c r="A10" s="7" t="s">
        <v>4</v>
      </c>
      <c r="B10" s="7" t="str">
        <v>Abase_f</v>
      </c>
      <c r="C10" s="8" t="s">
        <v>15</v>
      </c>
      <c r="D10" s="9" t="s">
        <v>17</v>
      </c>
    </row>
    <row r="11" customFormat="false" ht="16.4" hidden="false" customHeight="false" outlineLevel="0" collapsed="false">
      <c r="A11" s="7" t="s">
        <v>4</v>
      </c>
      <c r="B11" s="7" t="str">
        <v>Swet_f</v>
      </c>
      <c r="C11" s="8" t="s">
        <v>15</v>
      </c>
      <c r="D11" s="9" t="s">
        <v>18</v>
      </c>
    </row>
    <row r="12" customFormat="false" ht="31.3" hidden="false" customHeight="false" outlineLevel="0" collapsed="false">
      <c r="A12" s="7" t="s">
        <v>4</v>
      </c>
      <c r="B12" s="7" t="str">
        <v>Q_f</v>
      </c>
      <c r="C12" s="8" t="s">
        <v>5</v>
      </c>
      <c r="D12" s="9" t="s">
        <v>19</v>
      </c>
    </row>
    <row r="13" customFormat="false" ht="16.4" hidden="false" customHeight="false" outlineLevel="0" collapsed="false">
      <c r="A13" s="7" t="s">
        <v>4</v>
      </c>
      <c r="B13" s="7" t="str">
        <v>Fuse_Mat</v>
      </c>
      <c r="C13" s="8" t="s">
        <v>5</v>
      </c>
      <c r="D13" s="9" t="s">
        <v>20</v>
      </c>
    </row>
    <row r="14" customFormat="false" ht="31.3" hidden="false" customHeight="false" outlineLevel="0" collapsed="false">
      <c r="A14" s="7" t="s">
        <v>4</v>
      </c>
      <c r="B14" s="7" t="str">
        <v>Sref_w</v>
      </c>
      <c r="C14" s="8" t="s">
        <v>15</v>
      </c>
      <c r="D14" s="9" t="s">
        <v>21</v>
      </c>
    </row>
    <row r="15" customFormat="false" ht="31.3" hidden="false" customHeight="false" outlineLevel="0" collapsed="false">
      <c r="A15" s="7" t="s">
        <v>4</v>
      </c>
      <c r="B15" s="7" t="str">
        <v>Swet_w</v>
      </c>
      <c r="C15" s="8" t="s">
        <v>15</v>
      </c>
      <c r="D15" s="9" t="s">
        <v>22</v>
      </c>
    </row>
    <row r="16" customFormat="false" ht="16.4" hidden="false" customHeight="false" outlineLevel="0" collapsed="false">
      <c r="A16" s="7" t="s">
        <v>4</v>
      </c>
      <c r="B16" s="7" t="str">
        <v>AR_w</v>
      </c>
      <c r="C16" s="8" t="s">
        <v>5</v>
      </c>
      <c r="D16" s="9" t="s">
        <v>23</v>
      </c>
    </row>
    <row r="17" customFormat="false" ht="16.4" hidden="false" customHeight="false" outlineLevel="0" collapsed="false">
      <c r="A17" s="7" t="s">
        <v>4</v>
      </c>
      <c r="B17" s="7" t="str">
        <v>Taper_w</v>
      </c>
      <c r="C17" s="8" t="s">
        <v>5</v>
      </c>
      <c r="D17" s="9" t="s">
        <v>24</v>
      </c>
    </row>
    <row r="18" customFormat="false" ht="16.4" hidden="false" customHeight="false" outlineLevel="0" collapsed="false">
      <c r="A18" s="7" t="s">
        <v>4</v>
      </c>
      <c r="B18" s="7" t="str">
        <v>Sweep_w</v>
      </c>
      <c r="C18" s="8" t="s">
        <v>25</v>
      </c>
      <c r="D18" s="9" t="s">
        <v>26</v>
      </c>
    </row>
    <row r="19" customFormat="false" ht="16.4" hidden="false" customHeight="false" outlineLevel="0" collapsed="false">
      <c r="A19" s="7" t="s">
        <v>4</v>
      </c>
      <c r="B19" s="7" t="str">
        <v>QuarterSweep_w</v>
      </c>
      <c r="C19" s="8" t="s">
        <v>25</v>
      </c>
      <c r="D19" s="9" t="s">
        <v>27</v>
      </c>
    </row>
    <row r="20" customFormat="false" ht="46.25" hidden="false" customHeight="false" outlineLevel="0" collapsed="false">
      <c r="A20" s="7" t="s">
        <v>4</v>
      </c>
      <c r="B20" s="7" t="str">
        <v>Q_w</v>
      </c>
      <c r="C20" s="8" t="s">
        <v>5</v>
      </c>
      <c r="D20" s="9" t="s">
        <v>28</v>
      </c>
    </row>
    <row r="21" customFormat="false" ht="16.4" hidden="false" customHeight="false" outlineLevel="0" collapsed="false">
      <c r="A21" s="7" t="s">
        <v>4</v>
      </c>
      <c r="B21" s="7" t="str">
        <v>Wing_Mat</v>
      </c>
      <c r="C21" s="8" t="s">
        <v>5</v>
      </c>
      <c r="D21" s="9" t="s">
        <v>29</v>
      </c>
    </row>
    <row r="22" customFormat="false" ht="28.5" hidden="false" customHeight="true" outlineLevel="0" collapsed="false">
      <c r="A22" s="7" t="s">
        <v>4</v>
      </c>
      <c r="B22" s="7" t="str">
        <v>Sref-h1</v>
      </c>
      <c r="C22" s="8" t="s">
        <v>15</v>
      </c>
      <c r="D22" s="9" t="s">
        <v>30</v>
      </c>
    </row>
    <row r="23" customFormat="false" ht="31.3" hidden="false" customHeight="false" outlineLevel="0" collapsed="false">
      <c r="A23" s="7" t="s">
        <v>4</v>
      </c>
      <c r="B23" s="7" t="str">
        <v>Swet_h1</v>
      </c>
      <c r="C23" s="8" t="s">
        <v>15</v>
      </c>
      <c r="D23" s="9" t="s">
        <v>31</v>
      </c>
    </row>
    <row r="24" customFormat="false" ht="16.4" hidden="false" customHeight="false" outlineLevel="0" collapsed="false">
      <c r="A24" s="7" t="s">
        <v>4</v>
      </c>
      <c r="B24" s="7" t="str">
        <v>AR_h1</v>
      </c>
      <c r="C24" s="8" t="s">
        <v>5</v>
      </c>
      <c r="D24" s="9" t="s">
        <v>32</v>
      </c>
    </row>
    <row r="25" customFormat="false" ht="31.3" hidden="false" customHeight="false" outlineLevel="0" collapsed="false">
      <c r="A25" s="7" t="s">
        <v>4</v>
      </c>
      <c r="B25" s="7" t="str">
        <v>Taper_h1</v>
      </c>
      <c r="C25" s="8" t="s">
        <v>5</v>
      </c>
      <c r="D25" s="9" t="s">
        <v>33</v>
      </c>
    </row>
    <row r="26" customFormat="false" ht="16.4" hidden="false" customHeight="false" outlineLevel="0" collapsed="false">
      <c r="A26" s="7" t="s">
        <v>4</v>
      </c>
      <c r="B26" s="7" t="str">
        <v>Sweep_h1</v>
      </c>
      <c r="C26" s="8" t="s">
        <v>25</v>
      </c>
      <c r="D26" s="9" t="s">
        <v>34</v>
      </c>
    </row>
    <row r="27" customFormat="false" ht="31.3" hidden="false" customHeight="false" outlineLevel="0" collapsed="false">
      <c r="A27" s="7" t="s">
        <v>4</v>
      </c>
      <c r="B27" s="7" t="str">
        <v>MAC_h1</v>
      </c>
      <c r="C27" s="8" t="s">
        <v>7</v>
      </c>
      <c r="D27" s="9" t="s">
        <v>35</v>
      </c>
    </row>
    <row r="28" customFormat="false" ht="46.25" hidden="false" customHeight="false" outlineLevel="0" collapsed="false">
      <c r="A28" s="7" t="s">
        <v>4</v>
      </c>
      <c r="B28" s="7" t="str">
        <v>Q_h1</v>
      </c>
      <c r="C28" s="8" t="s">
        <v>5</v>
      </c>
      <c r="D28" s="9" t="s">
        <v>36</v>
      </c>
    </row>
    <row r="29" customFormat="false" ht="16.4" hidden="false" customHeight="false" outlineLevel="0" collapsed="false">
      <c r="A29" s="7" t="s">
        <v>4</v>
      </c>
      <c r="B29" s="7" t="str">
        <v>h1_Mat</v>
      </c>
      <c r="C29" s="2" t="s">
        <v>5</v>
      </c>
      <c r="D29" s="9" t="s">
        <v>37</v>
      </c>
    </row>
    <row r="30" customFormat="false" ht="16.4" hidden="false" customHeight="false" outlineLevel="0" collapsed="false">
      <c r="A30" s="7" t="s">
        <v>4</v>
      </c>
      <c r="B30" s="7" t="str">
        <v>Sref-v1</v>
      </c>
      <c r="C30" s="8" t="s">
        <v>15</v>
      </c>
      <c r="D30" s="9" t="s">
        <v>38</v>
      </c>
    </row>
    <row r="31" customFormat="false" ht="31.3" hidden="false" customHeight="false" outlineLevel="0" collapsed="false">
      <c r="A31" s="7" t="s">
        <v>4</v>
      </c>
      <c r="B31" s="7" t="str">
        <v>Swet_v1</v>
      </c>
      <c r="C31" s="8" t="s">
        <v>15</v>
      </c>
      <c r="D31" s="9" t="s">
        <v>39</v>
      </c>
    </row>
    <row r="32" customFormat="false" ht="16.4" hidden="false" customHeight="false" outlineLevel="0" collapsed="false">
      <c r="A32" s="7" t="s">
        <v>4</v>
      </c>
      <c r="B32" s="7" t="str">
        <v>AR_v1</v>
      </c>
      <c r="C32" s="8" t="s">
        <v>5</v>
      </c>
      <c r="D32" s="9" t="s">
        <v>40</v>
      </c>
    </row>
    <row r="33" customFormat="false" ht="31.3" hidden="false" customHeight="false" outlineLevel="0" collapsed="false">
      <c r="A33" s="7" t="s">
        <v>4</v>
      </c>
      <c r="B33" s="7" t="str">
        <v>Taper_v1</v>
      </c>
      <c r="C33" s="8" t="s">
        <v>5</v>
      </c>
      <c r="D33" s="9" t="s">
        <v>41</v>
      </c>
    </row>
    <row r="34" customFormat="false" ht="16.4" hidden="false" customHeight="false" outlineLevel="0" collapsed="false">
      <c r="A34" s="7" t="s">
        <v>4</v>
      </c>
      <c r="B34" s="7" t="str">
        <v>Sweep_v1</v>
      </c>
      <c r="C34" s="8" t="s">
        <v>25</v>
      </c>
      <c r="D34" s="9" t="s">
        <v>42</v>
      </c>
    </row>
    <row r="35" customFormat="false" ht="31.3" hidden="false" customHeight="false" outlineLevel="0" collapsed="false">
      <c r="A35" s="7" t="s">
        <v>4</v>
      </c>
      <c r="B35" s="7" t="str">
        <v>MAC_v1</v>
      </c>
      <c r="C35" s="8" t="s">
        <v>7</v>
      </c>
      <c r="D35" s="9" t="s">
        <v>43</v>
      </c>
    </row>
    <row r="36" customFormat="false" ht="46.25" hidden="false" customHeight="false" outlineLevel="0" collapsed="false">
      <c r="A36" s="7" t="s">
        <v>4</v>
      </c>
      <c r="B36" s="7" t="str">
        <v>Q_v1</v>
      </c>
      <c r="C36" s="8" t="s">
        <v>5</v>
      </c>
      <c r="D36" s="9" t="s">
        <v>44</v>
      </c>
    </row>
    <row r="37" customFormat="false" ht="16.4" hidden="false" customHeight="false" outlineLevel="0" collapsed="false">
      <c r="A37" s="7" t="s">
        <v>4</v>
      </c>
      <c r="B37" s="7" t="str">
        <v>v1_Mat</v>
      </c>
      <c r="C37" s="2" t="s">
        <v>5</v>
      </c>
      <c r="D37" s="9" t="s">
        <v>45</v>
      </c>
    </row>
    <row r="38" customFormat="false" ht="16.4" hidden="false" customHeight="false" outlineLevel="0" collapsed="false">
      <c r="A38" s="7" t="s">
        <v>4</v>
      </c>
      <c r="B38" s="7" t="str">
        <v>Sref-v2</v>
      </c>
      <c r="C38" s="8" t="s">
        <v>15</v>
      </c>
      <c r="D38" s="9" t="s">
        <v>46</v>
      </c>
    </row>
    <row r="39" customFormat="false" ht="31.3" hidden="false" customHeight="false" outlineLevel="0" collapsed="false">
      <c r="A39" s="7" t="s">
        <v>4</v>
      </c>
      <c r="B39" s="7" t="str">
        <v>Swet_v2</v>
      </c>
      <c r="C39" s="8" t="s">
        <v>15</v>
      </c>
      <c r="D39" s="9" t="s">
        <v>47</v>
      </c>
    </row>
    <row r="40" customFormat="false" ht="16.4" hidden="false" customHeight="false" outlineLevel="0" collapsed="false">
      <c r="A40" s="7" t="s">
        <v>4</v>
      </c>
      <c r="B40" s="7" t="str">
        <v>AR_v2</v>
      </c>
      <c r="C40" s="8" t="s">
        <v>5</v>
      </c>
      <c r="D40" s="9" t="s">
        <v>48</v>
      </c>
    </row>
    <row r="41" customFormat="false" ht="31.3" hidden="false" customHeight="false" outlineLevel="0" collapsed="false">
      <c r="A41" s="7" t="s">
        <v>4</v>
      </c>
      <c r="B41" s="7" t="str">
        <v>Taper_v2</v>
      </c>
      <c r="C41" s="8" t="s">
        <v>5</v>
      </c>
      <c r="D41" s="9" t="s">
        <v>49</v>
      </c>
    </row>
    <row r="42" customFormat="false" ht="16.4" hidden="false" customHeight="false" outlineLevel="0" collapsed="false">
      <c r="A42" s="7" t="s">
        <v>4</v>
      </c>
      <c r="B42" s="7" t="str">
        <v>Sweep_v2</v>
      </c>
      <c r="C42" s="8" t="s">
        <v>25</v>
      </c>
      <c r="D42" s="9" t="s">
        <v>50</v>
      </c>
    </row>
    <row r="43" customFormat="false" ht="31.3" hidden="false" customHeight="false" outlineLevel="0" collapsed="false">
      <c r="A43" s="7" t="s">
        <v>4</v>
      </c>
      <c r="B43" s="7" t="str">
        <v>MAC_v2</v>
      </c>
      <c r="C43" s="8" t="s">
        <v>7</v>
      </c>
      <c r="D43" s="9" t="s">
        <v>51</v>
      </c>
    </row>
    <row r="44" customFormat="false" ht="46.25" hidden="false" customHeight="false" outlineLevel="0" collapsed="false">
      <c r="A44" s="7" t="s">
        <v>4</v>
      </c>
      <c r="B44" s="7" t="str">
        <v>Q_v2</v>
      </c>
      <c r="C44" s="8" t="s">
        <v>5</v>
      </c>
      <c r="D44" s="9" t="s">
        <v>52</v>
      </c>
    </row>
    <row r="45" customFormat="false" ht="16.4" hidden="false" customHeight="false" outlineLevel="0" collapsed="false">
      <c r="A45" s="7" t="s">
        <v>4</v>
      </c>
      <c r="B45" s="7" t="str">
        <v>v2_Mat</v>
      </c>
      <c r="C45" s="2" t="s">
        <v>5</v>
      </c>
      <c r="D45" s="9" t="s">
        <v>53</v>
      </c>
    </row>
    <row r="46" customFormat="false" ht="16.4" hidden="false" customHeight="false" outlineLevel="0" collapsed="false">
      <c r="A46" s="7" t="s">
        <v>54</v>
      </c>
      <c r="B46" s="7" t="s">
        <v>55</v>
      </c>
      <c r="C46" s="8" t="s">
        <v>5</v>
      </c>
      <c r="D46" s="9" t="s">
        <v>56</v>
      </c>
    </row>
    <row r="47" customFormat="false" ht="16.4" hidden="false" customHeight="false" outlineLevel="0" collapsed="false">
      <c r="A47" s="7" t="s">
        <v>54</v>
      </c>
      <c r="B47" s="7" t="s">
        <v>57</v>
      </c>
      <c r="C47" s="8" t="s">
        <v>5</v>
      </c>
      <c r="D47" s="9" t="s">
        <v>58</v>
      </c>
    </row>
    <row r="48" customFormat="false" ht="16.4" hidden="false" customHeight="false" outlineLevel="0" collapsed="false">
      <c r="A48" s="7" t="s">
        <v>54</v>
      </c>
      <c r="B48" s="7" t="s">
        <v>59</v>
      </c>
      <c r="C48" s="8" t="s">
        <v>5</v>
      </c>
      <c r="D48" s="9" t="s">
        <v>60</v>
      </c>
    </row>
    <row r="49" customFormat="false" ht="16.4" hidden="false" customHeight="false" outlineLevel="0" collapsed="false">
      <c r="A49" s="7" t="s">
        <v>54</v>
      </c>
      <c r="B49" s="7" t="s">
        <v>61</v>
      </c>
      <c r="C49" s="8" t="s">
        <v>5</v>
      </c>
      <c r="D49" s="9" t="s">
        <v>62</v>
      </c>
    </row>
    <row r="50" customFormat="false" ht="16.4" hidden="false" customHeight="false" outlineLevel="0" collapsed="false">
      <c r="A50" s="7" t="s">
        <v>54</v>
      </c>
      <c r="B50" s="7" t="s">
        <v>63</v>
      </c>
      <c r="C50" s="8" t="s">
        <v>5</v>
      </c>
      <c r="D50" s="9" t="s">
        <v>64</v>
      </c>
    </row>
    <row r="51" customFormat="false" ht="16.4" hidden="false" customHeight="false" outlineLevel="0" collapsed="false">
      <c r="A51" s="7" t="s">
        <v>54</v>
      </c>
      <c r="B51" s="7" t="s">
        <v>65</v>
      </c>
      <c r="C51" s="8" t="s">
        <v>5</v>
      </c>
      <c r="D51" s="9" t="s">
        <v>66</v>
      </c>
    </row>
    <row r="52" customFormat="false" ht="16.4" hidden="false" customHeight="false" outlineLevel="0" collapsed="false">
      <c r="A52" s="7" t="s">
        <v>54</v>
      </c>
      <c r="B52" s="7" t="s">
        <v>67</v>
      </c>
      <c r="C52" s="8" t="s">
        <v>5</v>
      </c>
      <c r="D52" s="9" t="s">
        <v>68</v>
      </c>
    </row>
    <row r="53" customFormat="false" ht="16.4" hidden="false" customHeight="false" outlineLevel="0" collapsed="false">
      <c r="A53" s="7" t="s">
        <v>54</v>
      </c>
      <c r="B53" s="7" t="s">
        <v>69</v>
      </c>
      <c r="C53" s="8" t="s">
        <v>5</v>
      </c>
      <c r="D53" s="9" t="s">
        <v>70</v>
      </c>
    </row>
    <row r="54" customFormat="false" ht="16.4" hidden="false" customHeight="false" outlineLevel="0" collapsed="false">
      <c r="A54" s="7" t="s">
        <v>54</v>
      </c>
      <c r="B54" s="7" t="s">
        <v>71</v>
      </c>
      <c r="C54" s="8" t="s">
        <v>5</v>
      </c>
      <c r="D54" s="9" t="s">
        <v>72</v>
      </c>
    </row>
    <row r="55" customFormat="false" ht="16.4" hidden="false" customHeight="false" outlineLevel="0" collapsed="false">
      <c r="A55" s="7" t="s">
        <v>54</v>
      </c>
      <c r="B55" s="7" t="s">
        <v>73</v>
      </c>
      <c r="C55" s="8" t="s">
        <v>5</v>
      </c>
      <c r="D55" s="9" t="s">
        <v>74</v>
      </c>
    </row>
    <row r="56" customFormat="false" ht="16.4" hidden="false" customHeight="false" outlineLevel="0" collapsed="false">
      <c r="A56" s="7" t="s">
        <v>54</v>
      </c>
      <c r="B56" s="7" t="s">
        <v>75</v>
      </c>
      <c r="C56" s="8" t="s">
        <v>5</v>
      </c>
      <c r="D56" s="9" t="s">
        <v>76</v>
      </c>
    </row>
    <row r="57" customFormat="false" ht="16.4" hidden="false" customHeight="false" outlineLevel="0" collapsed="false">
      <c r="A57" s="7" t="s">
        <v>54</v>
      </c>
      <c r="B57" s="7" t="s">
        <v>77</v>
      </c>
      <c r="C57" s="8" t="s">
        <v>5</v>
      </c>
      <c r="D57" s="9" t="s">
        <v>78</v>
      </c>
    </row>
    <row r="58" customFormat="false" ht="16.4" hidden="false" customHeight="false" outlineLevel="0" collapsed="false">
      <c r="A58" s="7" t="s">
        <v>54</v>
      </c>
      <c r="B58" s="7" t="s">
        <v>79</v>
      </c>
      <c r="C58" s="8" t="s">
        <v>5</v>
      </c>
      <c r="D58" s="9" t="s">
        <v>80</v>
      </c>
    </row>
    <row r="59" customFormat="false" ht="16.4" hidden="false" customHeight="false" outlineLevel="0" collapsed="false">
      <c r="A59" s="7" t="s">
        <v>54</v>
      </c>
      <c r="B59" s="7" t="s">
        <v>81</v>
      </c>
      <c r="C59" s="8" t="s">
        <v>5</v>
      </c>
      <c r="D59" s="9" t="s">
        <v>82</v>
      </c>
    </row>
    <row r="60" customFormat="false" ht="16.4" hidden="false" customHeight="false" outlineLevel="0" collapsed="false">
      <c r="A60" s="7" t="s">
        <v>54</v>
      </c>
      <c r="B60" s="7" t="s">
        <v>83</v>
      </c>
      <c r="C60" s="8" t="s">
        <v>5</v>
      </c>
      <c r="D60" s="9" t="s">
        <v>84</v>
      </c>
    </row>
    <row r="61" customFormat="false" ht="16.5" hidden="false" customHeight="true" outlineLevel="0" collapsed="false">
      <c r="A61" s="7" t="s">
        <v>85</v>
      </c>
      <c r="B61" s="7" t="str">
        <f aca="false" t="array" ref="B61:B81">TRANSPOSE(Component_Data!A1:U1)</f>
        <v>Config</v>
      </c>
      <c r="C61" s="2" t="s">
        <v>5</v>
      </c>
      <c r="D61" s="9" t="s">
        <v>6</v>
      </c>
    </row>
    <row r="62" customFormat="false" ht="16.4" hidden="false" customHeight="false" outlineLevel="0" collapsed="false">
      <c r="A62" s="7" t="s">
        <v>85</v>
      </c>
      <c r="B62" s="7" t="str">
        <v>m_nose</v>
      </c>
      <c r="C62" s="8" t="s">
        <v>86</v>
      </c>
      <c r="D62" s="9" t="s">
        <v>87</v>
      </c>
    </row>
    <row r="63" customFormat="false" ht="16.4" hidden="false" customHeight="false" outlineLevel="0" collapsed="false">
      <c r="A63" s="7" t="s">
        <v>85</v>
      </c>
      <c r="B63" s="7" t="str">
        <v>Xcg_nose</v>
      </c>
      <c r="C63" s="8" t="s">
        <v>7</v>
      </c>
      <c r="D63" s="9" t="s">
        <v>88</v>
      </c>
    </row>
    <row r="64" customFormat="false" ht="16.4" hidden="false" customHeight="false" outlineLevel="0" collapsed="false">
      <c r="A64" s="7" t="s">
        <v>85</v>
      </c>
      <c r="B64" s="7" t="str">
        <v>m_fuse</v>
      </c>
      <c r="C64" s="8" t="s">
        <v>86</v>
      </c>
      <c r="D64" s="9" t="s">
        <v>89</v>
      </c>
    </row>
    <row r="65" customFormat="false" ht="16.4" hidden="false" customHeight="false" outlineLevel="0" collapsed="false">
      <c r="A65" s="7" t="s">
        <v>85</v>
      </c>
      <c r="B65" s="7" t="str">
        <v>Xcg_fuse</v>
      </c>
      <c r="C65" s="8" t="s">
        <v>7</v>
      </c>
      <c r="D65" s="9" t="s">
        <v>90</v>
      </c>
    </row>
    <row r="66" customFormat="false" ht="16.4" hidden="false" customHeight="false" outlineLevel="0" collapsed="false">
      <c r="A66" s="7" t="s">
        <v>85</v>
      </c>
      <c r="B66" s="7" t="str">
        <v>m_wing</v>
      </c>
      <c r="C66" s="8" t="s">
        <v>86</v>
      </c>
      <c r="D66" s="9" t="s">
        <v>91</v>
      </c>
    </row>
    <row r="67" customFormat="false" ht="16.4" hidden="false" customHeight="false" outlineLevel="0" collapsed="false">
      <c r="A67" s="7" t="s">
        <v>85</v>
      </c>
      <c r="B67" s="7" t="str">
        <v>X_LE_wing</v>
      </c>
      <c r="C67" s="8" t="s">
        <v>7</v>
      </c>
      <c r="D67" s="9" t="s">
        <v>92</v>
      </c>
    </row>
    <row r="68" customFormat="false" ht="16.4" hidden="false" customHeight="false" outlineLevel="0" collapsed="false">
      <c r="A68" s="7" t="s">
        <v>85</v>
      </c>
      <c r="B68" s="7" t="str">
        <v>Xcg_wing</v>
      </c>
      <c r="C68" s="8" t="s">
        <v>7</v>
      </c>
      <c r="D68" s="9" t="s">
        <v>93</v>
      </c>
    </row>
    <row r="69" customFormat="false" ht="16.4" hidden="false" customHeight="false" outlineLevel="0" collapsed="false">
      <c r="A69" s="7" t="s">
        <v>85</v>
      </c>
      <c r="B69" s="7" t="str">
        <v>m_h1</v>
      </c>
      <c r="C69" s="8" t="s">
        <v>86</v>
      </c>
      <c r="D69" s="9" t="s">
        <v>94</v>
      </c>
    </row>
    <row r="70" customFormat="false" ht="31.3" hidden="false" customHeight="false" outlineLevel="0" collapsed="false">
      <c r="A70" s="7" t="s">
        <v>85</v>
      </c>
      <c r="B70" s="7" t="str">
        <v>X_LE_h1</v>
      </c>
      <c r="C70" s="8" t="s">
        <v>7</v>
      </c>
      <c r="D70" s="9" t="s">
        <v>95</v>
      </c>
    </row>
    <row r="71" customFormat="false" ht="18" hidden="false" customHeight="true" outlineLevel="0" collapsed="false">
      <c r="A71" s="7" t="s">
        <v>85</v>
      </c>
      <c r="B71" s="7" t="str">
        <v>Xcg_h1</v>
      </c>
      <c r="C71" s="8" t="s">
        <v>7</v>
      </c>
      <c r="D71" s="9" t="s">
        <v>96</v>
      </c>
    </row>
    <row r="72" customFormat="false" ht="16.4" hidden="false" customHeight="false" outlineLevel="0" collapsed="false">
      <c r="A72" s="7" t="s">
        <v>85</v>
      </c>
      <c r="B72" s="7" t="str">
        <v>m_v1</v>
      </c>
      <c r="C72" s="8" t="s">
        <v>86</v>
      </c>
      <c r="D72" s="9" t="s">
        <v>97</v>
      </c>
    </row>
    <row r="73" customFormat="false" ht="31.3" hidden="false" customHeight="false" outlineLevel="0" collapsed="false">
      <c r="A73" s="7" t="s">
        <v>85</v>
      </c>
      <c r="B73" s="7" t="str">
        <v>X_LE_v1</v>
      </c>
      <c r="C73" s="8" t="s">
        <v>7</v>
      </c>
      <c r="D73" s="9" t="s">
        <v>98</v>
      </c>
    </row>
    <row r="74" customFormat="false" ht="18.75" hidden="false" customHeight="true" outlineLevel="0" collapsed="false">
      <c r="A74" s="7" t="s">
        <v>85</v>
      </c>
      <c r="B74" s="7" t="str">
        <v>Xcg_v1</v>
      </c>
      <c r="C74" s="8" t="s">
        <v>7</v>
      </c>
      <c r="D74" s="9" t="s">
        <v>99</v>
      </c>
    </row>
    <row r="75" customFormat="false" ht="16.4" hidden="false" customHeight="false" outlineLevel="0" collapsed="false">
      <c r="A75" s="7" t="s">
        <v>85</v>
      </c>
      <c r="B75" s="7" t="str">
        <v>m_v2</v>
      </c>
      <c r="C75" s="8" t="s">
        <v>86</v>
      </c>
      <c r="D75" s="9" t="s">
        <v>100</v>
      </c>
    </row>
    <row r="76" customFormat="false" ht="31.3" hidden="false" customHeight="false" outlineLevel="0" collapsed="false">
      <c r="A76" s="7" t="s">
        <v>85</v>
      </c>
      <c r="B76" s="7" t="str">
        <v>X_LE_v2</v>
      </c>
      <c r="C76" s="8" t="s">
        <v>7</v>
      </c>
      <c r="D76" s="9" t="s">
        <v>101</v>
      </c>
    </row>
    <row r="77" customFormat="false" ht="16.5" hidden="false" customHeight="true" outlineLevel="0" collapsed="false">
      <c r="A77" s="7" t="s">
        <v>85</v>
      </c>
      <c r="B77" s="7" t="str">
        <v>Xcg_v2</v>
      </c>
      <c r="C77" s="8" t="s">
        <v>7</v>
      </c>
      <c r="D77" s="9" t="s">
        <v>102</v>
      </c>
    </row>
    <row r="78" customFormat="false" ht="16.4" hidden="false" customHeight="false" outlineLevel="0" collapsed="false">
      <c r="A78" s="7" t="s">
        <v>85</v>
      </c>
      <c r="B78" s="7" t="str">
        <v>m_pay</v>
      </c>
      <c r="C78" s="8" t="s">
        <v>86</v>
      </c>
      <c r="D78" s="9" t="s">
        <v>103</v>
      </c>
    </row>
    <row r="79" customFormat="false" ht="16.4" hidden="false" customHeight="false" outlineLevel="0" collapsed="false">
      <c r="A79" s="7" t="s">
        <v>85</v>
      </c>
      <c r="B79" s="7" t="str">
        <v>Xcg_pay</v>
      </c>
      <c r="C79" s="8" t="s">
        <v>7</v>
      </c>
      <c r="D79" s="9" t="s">
        <v>104</v>
      </c>
    </row>
    <row r="80" customFormat="false" ht="16.4" hidden="false" customHeight="false" outlineLevel="0" collapsed="false">
      <c r="A80" s="7" t="s">
        <v>85</v>
      </c>
      <c r="B80" s="7" t="str">
        <v>m_ballast</v>
      </c>
      <c r="C80" s="8" t="s">
        <v>86</v>
      </c>
      <c r="D80" s="9" t="s">
        <v>105</v>
      </c>
    </row>
    <row r="81" customFormat="false" ht="16.4" hidden="false" customHeight="false" outlineLevel="0" collapsed="false">
      <c r="A81" s="7" t="s">
        <v>85</v>
      </c>
      <c r="B81" s="7" t="str">
        <v>Xcg_ballast</v>
      </c>
      <c r="C81" s="8" t="s">
        <v>7</v>
      </c>
      <c r="D81" s="9" t="s">
        <v>106</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R51"/>
  <sheetViews>
    <sheetView showFormulas="false" showGridLines="true" showRowColHeaders="true" showZeros="true" rightToLeft="false" tabSelected="true" showOutlineSymbols="true" defaultGridColor="true" view="normal" topLeftCell="E1" colorId="64" zoomScale="99" zoomScaleNormal="99" zoomScalePageLayoutView="100" workbookViewId="0">
      <selection pane="topLeft" activeCell="AR2" activeCellId="0" sqref="AR2"/>
    </sheetView>
  </sheetViews>
  <sheetFormatPr defaultColWidth="8.859375" defaultRowHeight="15" zeroHeight="false" outlineLevelRow="0" outlineLevelCol="0"/>
  <cols>
    <col collapsed="false" customWidth="false" hidden="false" outlineLevel="0" max="1" min="1" style="8" width="8.86"/>
    <col collapsed="false" customWidth="true" hidden="false" outlineLevel="0" max="2" min="2" style="8" width="10.57"/>
    <col collapsed="false" customWidth="false" hidden="false" outlineLevel="0" max="11" min="3" style="8" width="8.86"/>
    <col collapsed="false" customWidth="true" hidden="false" outlineLevel="0" max="12" min="12" style="8" width="15.72"/>
    <col collapsed="false" customWidth="true" hidden="false" outlineLevel="0" max="13" min="13" style="8" width="6.86"/>
    <col collapsed="false" customWidth="false" hidden="false" outlineLevel="0" max="14" min="14" style="8" width="8.86"/>
    <col collapsed="false" customWidth="true" hidden="false" outlineLevel="0" max="15" min="15" style="8" width="12"/>
    <col collapsed="false" customWidth="false" hidden="false" outlineLevel="0" max="17" min="16" style="8" width="8.86"/>
    <col collapsed="false" customWidth="true" hidden="false" outlineLevel="0" max="18" min="18" style="8" width="16.14"/>
    <col collapsed="false" customWidth="false" hidden="false" outlineLevel="0" max="19" min="19" style="8" width="8.86"/>
    <col collapsed="false" customWidth="true" hidden="false" outlineLevel="0" max="20" min="20" style="8" width="15.72"/>
    <col collapsed="false" customWidth="false" hidden="false" outlineLevel="0" max="27" min="21" style="8" width="8.86"/>
    <col collapsed="false" customWidth="true" hidden="false" outlineLevel="0" max="28" min="28" style="8" width="15.72"/>
    <col collapsed="false" customWidth="false" hidden="false" outlineLevel="0" max="30" min="29" style="8" width="8.86"/>
    <col collapsed="false" customWidth="true" hidden="false" outlineLevel="0" max="31" min="31" style="8" width="12"/>
    <col collapsed="false" customWidth="false" hidden="false" outlineLevel="0" max="35" min="32" style="8" width="8.86"/>
    <col collapsed="false" customWidth="true" hidden="false" outlineLevel="0" max="36" min="36" style="8" width="16.72"/>
    <col collapsed="false" customWidth="false" hidden="false" outlineLevel="0" max="43" min="37" style="8" width="8.86"/>
    <col collapsed="false" customWidth="true" hidden="false" outlineLevel="0" max="44" min="44" style="8" width="20.29"/>
    <col collapsed="false" customWidth="false" hidden="false" outlineLevel="0" max="16384" min="45" style="8" width="8.86"/>
  </cols>
  <sheetData>
    <row r="1" customFormat="false" ht="15" hidden="false" customHeight="false" outlineLevel="0" collapsed="false">
      <c r="A1" s="10" t="s">
        <v>107</v>
      </c>
      <c r="B1" s="10" t="s">
        <v>108</v>
      </c>
      <c r="C1" s="10" t="s">
        <v>109</v>
      </c>
      <c r="D1" s="10" t="s">
        <v>110</v>
      </c>
      <c r="E1" s="10" t="s">
        <v>111</v>
      </c>
      <c r="F1" s="10" t="s">
        <v>112</v>
      </c>
      <c r="G1" s="10" t="s">
        <v>113</v>
      </c>
      <c r="H1" s="10" t="s">
        <v>114</v>
      </c>
      <c r="I1" s="10" t="s">
        <v>115</v>
      </c>
      <c r="J1" s="10" t="s">
        <v>116</v>
      </c>
      <c r="K1" s="10" t="s">
        <v>117</v>
      </c>
      <c r="L1" s="10" t="s">
        <v>118</v>
      </c>
      <c r="M1" s="11" t="s">
        <v>119</v>
      </c>
      <c r="N1" s="11" t="s">
        <v>120</v>
      </c>
      <c r="O1" s="11" t="s">
        <v>121</v>
      </c>
      <c r="P1" s="11" t="s">
        <v>122</v>
      </c>
      <c r="Q1" s="11" t="s">
        <v>123</v>
      </c>
      <c r="R1" s="11" t="s">
        <v>124</v>
      </c>
      <c r="S1" s="11" t="s">
        <v>125</v>
      </c>
      <c r="T1" s="11" t="s">
        <v>126</v>
      </c>
      <c r="U1" s="12" t="s">
        <v>127</v>
      </c>
      <c r="V1" s="12" t="s">
        <v>128</v>
      </c>
      <c r="W1" s="12" t="s">
        <v>129</v>
      </c>
      <c r="X1" s="12" t="s">
        <v>130</v>
      </c>
      <c r="Y1" s="12" t="s">
        <v>131</v>
      </c>
      <c r="Z1" s="12" t="s">
        <v>132</v>
      </c>
      <c r="AA1" s="12" t="s">
        <v>133</v>
      </c>
      <c r="AB1" s="12" t="s">
        <v>134</v>
      </c>
      <c r="AC1" s="13" t="s">
        <v>135</v>
      </c>
      <c r="AD1" s="13" t="s">
        <v>136</v>
      </c>
      <c r="AE1" s="13" t="s">
        <v>137</v>
      </c>
      <c r="AF1" s="13" t="s">
        <v>138</v>
      </c>
      <c r="AG1" s="13" t="s">
        <v>139</v>
      </c>
      <c r="AH1" s="13" t="s">
        <v>140</v>
      </c>
      <c r="AI1" s="13" t="s">
        <v>141</v>
      </c>
      <c r="AJ1" s="13" t="s">
        <v>142</v>
      </c>
      <c r="AK1" s="14" t="s">
        <v>143</v>
      </c>
      <c r="AL1" s="14" t="s">
        <v>144</v>
      </c>
      <c r="AM1" s="14" t="s">
        <v>145</v>
      </c>
      <c r="AN1" s="14" t="s">
        <v>146</v>
      </c>
      <c r="AO1" s="14" t="s">
        <v>147</v>
      </c>
      <c r="AP1" s="14" t="s">
        <v>148</v>
      </c>
      <c r="AQ1" s="14" t="s">
        <v>149</v>
      </c>
      <c r="AR1" s="14" t="s">
        <v>150</v>
      </c>
    </row>
    <row r="2" customFormat="false" ht="15" hidden="false" customHeight="false" outlineLevel="0" collapsed="false">
      <c r="A2" s="8" t="s">
        <v>151</v>
      </c>
      <c r="B2" s="8" t="n">
        <v>5248</v>
      </c>
      <c r="C2" s="8" t="n">
        <v>30</v>
      </c>
      <c r="D2" s="8" t="n">
        <f aca="false">800/1000</f>
        <v>0.8</v>
      </c>
      <c r="E2" s="8" t="n">
        <f aca="false">7/1000</f>
        <v>0.007</v>
      </c>
      <c r="F2" s="8" t="n">
        <v>57.14</v>
      </c>
      <c r="G2" s="8" t="n">
        <f aca="false">3/1000</f>
        <v>0.003</v>
      </c>
      <c r="H2" s="8" t="n">
        <f aca="false">3.14*7^2</f>
        <v>153.86</v>
      </c>
      <c r="I2" s="8" t="n">
        <v>0</v>
      </c>
      <c r="J2" s="8" t="n">
        <v>0</v>
      </c>
      <c r="K2" s="8" t="n">
        <v>1</v>
      </c>
      <c r="L2" s="4" t="s">
        <v>152</v>
      </c>
      <c r="M2" s="8" t="n">
        <f aca="false">(1000*100)/1000</f>
        <v>100</v>
      </c>
      <c r="N2" s="8" t="n">
        <v>103748.62419</v>
      </c>
      <c r="O2" s="8" t="n">
        <v>10</v>
      </c>
      <c r="P2" s="8" t="n">
        <v>0</v>
      </c>
      <c r="Q2" s="8" t="n">
        <v>0</v>
      </c>
      <c r="R2" s="8" t="n">
        <v>0</v>
      </c>
      <c r="S2" s="8" t="n">
        <v>0</v>
      </c>
      <c r="T2" s="4" t="s">
        <v>152</v>
      </c>
      <c r="U2" s="8" t="n">
        <v>0</v>
      </c>
      <c r="V2" s="8" t="n">
        <v>0</v>
      </c>
      <c r="W2" s="8" t="n">
        <v>0</v>
      </c>
      <c r="X2" s="8" t="n">
        <v>0</v>
      </c>
      <c r="Y2" s="8" t="n">
        <v>0</v>
      </c>
      <c r="Z2" s="8" t="n">
        <v>0</v>
      </c>
      <c r="AA2" s="8" t="n">
        <v>0</v>
      </c>
      <c r="AB2" s="4" t="s">
        <v>152</v>
      </c>
      <c r="AC2" s="8" t="n">
        <v>0</v>
      </c>
      <c r="AD2" s="8" t="n">
        <v>0</v>
      </c>
      <c r="AE2" s="8" t="n">
        <v>0</v>
      </c>
      <c r="AF2" s="8" t="n">
        <v>0</v>
      </c>
      <c r="AG2" s="8" t="n">
        <v>0</v>
      </c>
      <c r="AH2" s="8" t="n">
        <v>0</v>
      </c>
      <c r="AI2" s="8" t="n">
        <v>0</v>
      </c>
      <c r="AJ2" s="4" t="s">
        <v>152</v>
      </c>
      <c r="AK2" s="8" t="n">
        <v>0</v>
      </c>
      <c r="AL2" s="8" t="n">
        <v>0</v>
      </c>
      <c r="AM2" s="8" t="n">
        <v>0</v>
      </c>
      <c r="AN2" s="8" t="n">
        <v>0</v>
      </c>
      <c r="AO2" s="8" t="n">
        <v>0</v>
      </c>
      <c r="AP2" s="8" t="n">
        <v>0</v>
      </c>
      <c r="AQ2" s="8" t="n">
        <v>0</v>
      </c>
      <c r="AR2" s="4" t="s">
        <v>152</v>
      </c>
    </row>
    <row r="3" customFormat="false" ht="15" hidden="false" customHeight="false" outlineLevel="0" collapsed="false">
      <c r="L3" s="15"/>
      <c r="T3" s="15"/>
      <c r="AB3" s="15"/>
      <c r="AJ3" s="15"/>
      <c r="AR3" s="15"/>
    </row>
    <row r="4" customFormat="false" ht="15" hidden="false" customHeight="false" outlineLevel="0" collapsed="false">
      <c r="L4" s="15"/>
      <c r="T4" s="15"/>
      <c r="AB4" s="15"/>
      <c r="AJ4" s="15"/>
      <c r="AR4" s="15"/>
    </row>
    <row r="5" customFormat="false" ht="15" hidden="false" customHeight="false" outlineLevel="0" collapsed="false">
      <c r="L5" s="15"/>
      <c r="T5" s="15"/>
      <c r="AB5" s="15"/>
      <c r="AJ5" s="15"/>
      <c r="AR5" s="15"/>
    </row>
    <row r="6" customFormat="false" ht="15" hidden="false" customHeight="false" outlineLevel="0" collapsed="false">
      <c r="L6" s="15"/>
      <c r="T6" s="15"/>
      <c r="AB6" s="15"/>
      <c r="AJ6" s="15"/>
      <c r="AR6" s="15"/>
    </row>
    <row r="7" customFormat="false" ht="15" hidden="false" customHeight="false" outlineLevel="0" collapsed="false">
      <c r="L7" s="15"/>
      <c r="T7" s="15"/>
      <c r="AB7" s="15"/>
      <c r="AJ7" s="15"/>
      <c r="AR7" s="15"/>
    </row>
    <row r="8" customFormat="false" ht="15" hidden="false" customHeight="false" outlineLevel="0" collapsed="false">
      <c r="L8" s="15"/>
      <c r="T8" s="15"/>
      <c r="AB8" s="15"/>
      <c r="AJ8" s="15"/>
      <c r="AR8" s="15"/>
    </row>
    <row r="9" customFormat="false" ht="15" hidden="false" customHeight="false" outlineLevel="0" collapsed="false">
      <c r="L9" s="15"/>
      <c r="T9" s="15"/>
      <c r="AB9" s="15"/>
      <c r="AJ9" s="15"/>
      <c r="AR9" s="15"/>
    </row>
    <row r="10" customFormat="false" ht="15" hidden="false" customHeight="false" outlineLevel="0" collapsed="false">
      <c r="L10" s="15"/>
      <c r="T10" s="15"/>
      <c r="AB10" s="15"/>
      <c r="AJ10" s="15"/>
      <c r="AR10" s="15"/>
    </row>
    <row r="11" customFormat="false" ht="15" hidden="false" customHeight="false" outlineLevel="0" collapsed="false">
      <c r="L11" s="15"/>
      <c r="T11" s="15"/>
      <c r="AB11" s="15"/>
      <c r="AJ11" s="15"/>
      <c r="AR11" s="15"/>
    </row>
    <row r="12" customFormat="false" ht="15" hidden="false" customHeight="false" outlineLevel="0" collapsed="false">
      <c r="L12" s="15"/>
      <c r="T12" s="15"/>
      <c r="AB12" s="15"/>
      <c r="AJ12" s="15"/>
      <c r="AR12" s="15"/>
    </row>
    <row r="13" customFormat="false" ht="15" hidden="false" customHeight="false" outlineLevel="0" collapsed="false">
      <c r="L13" s="15"/>
      <c r="T13" s="15"/>
      <c r="AB13" s="15"/>
      <c r="AJ13" s="15"/>
      <c r="AR13" s="15"/>
    </row>
    <row r="14" customFormat="false" ht="15" hidden="false" customHeight="false" outlineLevel="0" collapsed="false">
      <c r="L14" s="15"/>
      <c r="T14" s="15"/>
      <c r="AB14" s="15"/>
      <c r="AJ14" s="15"/>
      <c r="AR14" s="15"/>
    </row>
    <row r="15" customFormat="false" ht="15" hidden="false" customHeight="false" outlineLevel="0" collapsed="false">
      <c r="L15" s="15"/>
      <c r="T15" s="15"/>
      <c r="AB15" s="15"/>
      <c r="AJ15" s="15"/>
      <c r="AR15" s="15"/>
    </row>
    <row r="16" customFormat="false" ht="15" hidden="false" customHeight="false" outlineLevel="0" collapsed="false">
      <c r="L16" s="15"/>
      <c r="T16" s="15"/>
      <c r="AB16" s="15"/>
      <c r="AJ16" s="15"/>
      <c r="AR16" s="15"/>
    </row>
    <row r="17" customFormat="false" ht="15" hidden="false" customHeight="false" outlineLevel="0" collapsed="false">
      <c r="L17" s="15"/>
      <c r="T17" s="15"/>
      <c r="AB17" s="15"/>
      <c r="AJ17" s="15"/>
      <c r="AR17" s="15"/>
    </row>
    <row r="18" customFormat="false" ht="15" hidden="false" customHeight="false" outlineLevel="0" collapsed="false">
      <c r="L18" s="15"/>
      <c r="T18" s="15"/>
      <c r="AB18" s="15"/>
      <c r="AJ18" s="15"/>
      <c r="AR18" s="15"/>
    </row>
    <row r="19" customFormat="false" ht="15" hidden="false" customHeight="false" outlineLevel="0" collapsed="false">
      <c r="L19" s="15"/>
      <c r="T19" s="15"/>
      <c r="AB19" s="15"/>
      <c r="AJ19" s="15"/>
      <c r="AR19" s="15"/>
    </row>
    <row r="20" customFormat="false" ht="15" hidden="false" customHeight="false" outlineLevel="0" collapsed="false">
      <c r="L20" s="15"/>
      <c r="T20" s="15"/>
      <c r="AB20" s="15"/>
      <c r="AJ20" s="15"/>
      <c r="AR20" s="15"/>
    </row>
    <row r="21" s="16" customFormat="true" ht="15" hidden="false" customHeight="false" outlineLevel="0" collapsed="false"/>
    <row r="22" customFormat="false" ht="15" hidden="false" customHeight="false" outlineLevel="0" collapsed="false">
      <c r="L22" s="15"/>
      <c r="T22" s="15"/>
      <c r="AB22" s="15"/>
      <c r="AJ22" s="15"/>
      <c r="AR22" s="15"/>
    </row>
    <row r="23" customFormat="false" ht="15" hidden="false" customHeight="false" outlineLevel="0" collapsed="false">
      <c r="L23" s="15"/>
      <c r="T23" s="15"/>
      <c r="AB23" s="15"/>
      <c r="AJ23" s="15"/>
      <c r="AR23" s="15"/>
    </row>
    <row r="24" customFormat="false" ht="15" hidden="false" customHeight="false" outlineLevel="0" collapsed="false">
      <c r="L24" s="15"/>
      <c r="T24" s="15"/>
      <c r="AB24" s="15"/>
      <c r="AJ24" s="15"/>
      <c r="AR24" s="15"/>
    </row>
    <row r="25" customFormat="false" ht="15" hidden="false" customHeight="false" outlineLevel="0" collapsed="false">
      <c r="L25" s="15"/>
      <c r="T25" s="15"/>
      <c r="AB25" s="15"/>
      <c r="AJ25" s="15"/>
      <c r="AR25" s="15"/>
    </row>
    <row r="26" customFormat="false" ht="15" hidden="false" customHeight="false" outlineLevel="0" collapsed="false">
      <c r="L26" s="15"/>
      <c r="T26" s="15"/>
      <c r="AB26" s="15"/>
      <c r="AJ26" s="15"/>
      <c r="AR26" s="15"/>
    </row>
    <row r="27" customFormat="false" ht="15" hidden="false" customHeight="false" outlineLevel="0" collapsed="false">
      <c r="L27" s="15"/>
      <c r="T27" s="15"/>
      <c r="AB27" s="15"/>
      <c r="AJ27" s="15"/>
      <c r="AR27" s="15"/>
    </row>
    <row r="28" customFormat="false" ht="15" hidden="false" customHeight="false" outlineLevel="0" collapsed="false">
      <c r="L28" s="15"/>
      <c r="T28" s="15"/>
      <c r="AB28" s="15"/>
      <c r="AJ28" s="15"/>
      <c r="AR28" s="15"/>
    </row>
    <row r="29" customFormat="false" ht="15" hidden="false" customHeight="false" outlineLevel="0" collapsed="false">
      <c r="L29" s="15"/>
      <c r="T29" s="15"/>
      <c r="AB29" s="15"/>
      <c r="AJ29" s="15"/>
      <c r="AR29" s="15"/>
    </row>
    <row r="30" customFormat="false" ht="15" hidden="false" customHeight="false" outlineLevel="0" collapsed="false">
      <c r="L30" s="15"/>
      <c r="T30" s="15"/>
      <c r="AB30" s="15"/>
      <c r="AJ30" s="15"/>
      <c r="AR30" s="15"/>
    </row>
    <row r="31" customFormat="false" ht="15" hidden="false" customHeight="false" outlineLevel="0" collapsed="false">
      <c r="L31" s="15"/>
      <c r="T31" s="15"/>
      <c r="AB31" s="15"/>
      <c r="AJ31" s="15"/>
      <c r="AR31" s="15"/>
    </row>
    <row r="32" customFormat="false" ht="15" hidden="false" customHeight="false" outlineLevel="0" collapsed="false">
      <c r="L32" s="15"/>
      <c r="T32" s="15"/>
      <c r="AB32" s="15"/>
      <c r="AJ32" s="15"/>
      <c r="AR32" s="15"/>
    </row>
    <row r="33" customFormat="false" ht="15" hidden="false" customHeight="false" outlineLevel="0" collapsed="false">
      <c r="L33" s="15"/>
      <c r="T33" s="15"/>
      <c r="AB33" s="15"/>
      <c r="AJ33" s="15"/>
      <c r="AR33" s="15"/>
    </row>
    <row r="34" customFormat="false" ht="15" hidden="false" customHeight="false" outlineLevel="0" collapsed="false">
      <c r="L34" s="15"/>
      <c r="T34" s="15"/>
      <c r="AB34" s="15"/>
      <c r="AJ34" s="15"/>
      <c r="AR34" s="15"/>
    </row>
    <row r="35" customFormat="false" ht="15" hidden="false" customHeight="false" outlineLevel="0" collapsed="false">
      <c r="L35" s="15"/>
      <c r="T35" s="15"/>
      <c r="AB35" s="15"/>
      <c r="AJ35" s="15"/>
      <c r="AR35" s="15"/>
    </row>
    <row r="36" customFormat="false" ht="15" hidden="false" customHeight="false" outlineLevel="0" collapsed="false">
      <c r="L36" s="15"/>
      <c r="T36" s="15"/>
      <c r="AB36" s="15"/>
      <c r="AJ36" s="15"/>
      <c r="AR36" s="15"/>
    </row>
    <row r="37" customFormat="false" ht="15" hidden="false" customHeight="false" outlineLevel="0" collapsed="false">
      <c r="L37" s="15"/>
      <c r="T37" s="15"/>
      <c r="AB37" s="15"/>
      <c r="AJ37" s="15"/>
      <c r="AR37" s="15"/>
    </row>
    <row r="38" customFormat="false" ht="15" hidden="false" customHeight="false" outlineLevel="0" collapsed="false">
      <c r="L38" s="15"/>
      <c r="T38" s="15"/>
      <c r="AB38" s="15"/>
      <c r="AJ38" s="15"/>
      <c r="AR38" s="15"/>
    </row>
    <row r="39" customFormat="false" ht="15" hidden="false" customHeight="false" outlineLevel="0" collapsed="false">
      <c r="L39" s="15"/>
      <c r="T39" s="15"/>
      <c r="AB39" s="15"/>
      <c r="AJ39" s="15"/>
      <c r="AR39" s="15"/>
    </row>
    <row r="40" customFormat="false" ht="15" hidden="false" customHeight="false" outlineLevel="0" collapsed="false">
      <c r="L40" s="15"/>
      <c r="T40" s="15"/>
      <c r="AB40" s="15"/>
      <c r="AJ40" s="15"/>
      <c r="AR40" s="15"/>
    </row>
    <row r="41" customFormat="false" ht="15" hidden="false" customHeight="false" outlineLevel="0" collapsed="false">
      <c r="L41" s="15"/>
      <c r="T41" s="15"/>
      <c r="AB41" s="15"/>
      <c r="AJ41" s="15"/>
      <c r="AR41" s="15"/>
    </row>
    <row r="42" customFormat="false" ht="15" hidden="false" customHeight="false" outlineLevel="0" collapsed="false">
      <c r="L42" s="15"/>
      <c r="T42" s="15"/>
      <c r="AB42" s="15"/>
      <c r="AJ42" s="15"/>
      <c r="AR42" s="15"/>
    </row>
    <row r="43" customFormat="false" ht="15" hidden="false" customHeight="false" outlineLevel="0" collapsed="false">
      <c r="L43" s="15"/>
      <c r="T43" s="15"/>
      <c r="AB43" s="15"/>
      <c r="AJ43" s="15"/>
      <c r="AR43" s="15"/>
    </row>
    <row r="44" customFormat="false" ht="15" hidden="false" customHeight="false" outlineLevel="0" collapsed="false">
      <c r="L44" s="15"/>
      <c r="T44" s="15"/>
      <c r="AB44" s="15"/>
      <c r="AJ44" s="15"/>
      <c r="AR44" s="15"/>
    </row>
    <row r="45" customFormat="false" ht="15" hidden="false" customHeight="false" outlineLevel="0" collapsed="false">
      <c r="L45" s="15"/>
      <c r="T45" s="15"/>
      <c r="AB45" s="15"/>
      <c r="AJ45" s="15"/>
      <c r="AR45" s="15"/>
    </row>
    <row r="46" customFormat="false" ht="15" hidden="false" customHeight="false" outlineLevel="0" collapsed="false">
      <c r="L46" s="15"/>
      <c r="T46" s="15"/>
      <c r="AB46" s="15"/>
      <c r="AJ46" s="15"/>
      <c r="AR46" s="15"/>
    </row>
    <row r="47" customFormat="false" ht="15" hidden="false" customHeight="false" outlineLevel="0" collapsed="false">
      <c r="L47" s="15"/>
      <c r="T47" s="15"/>
      <c r="AB47" s="15"/>
      <c r="AJ47" s="15"/>
      <c r="AR47" s="15"/>
    </row>
    <row r="48" customFormat="false" ht="15" hidden="false" customHeight="false" outlineLevel="0" collapsed="false">
      <c r="L48" s="15"/>
      <c r="T48" s="15"/>
      <c r="AB48" s="15"/>
      <c r="AJ48" s="15"/>
      <c r="AR48" s="15"/>
    </row>
    <row r="49" customFormat="false" ht="15" hidden="false" customHeight="false" outlineLevel="0" collapsed="false">
      <c r="L49" s="15"/>
      <c r="T49" s="15"/>
      <c r="AB49" s="15"/>
      <c r="AJ49" s="15"/>
      <c r="AR49" s="15"/>
    </row>
    <row r="50" customFormat="false" ht="15" hidden="false" customHeight="false" outlineLevel="0" collapsed="false">
      <c r="L50" s="15"/>
      <c r="T50" s="15"/>
      <c r="AB50" s="15"/>
      <c r="AJ50" s="15"/>
      <c r="AR50" s="15"/>
    </row>
    <row r="51" customFormat="false" ht="15" hidden="false" customHeight="false" outlineLevel="0" collapsed="false">
      <c r="L51" s="15"/>
      <c r="T51" s="15"/>
      <c r="AB51" s="15"/>
      <c r="AJ51" s="15"/>
      <c r="AR51" s="15"/>
    </row>
  </sheetData>
  <dataValidations count="1">
    <dataValidation allowBlank="true" errorStyle="stop" operator="between" showDropDown="false" showErrorMessage="true" showInputMessage="true" sqref="L3:L51 T3:T51 AB3:AB51 AJ3:AJ51 AR3:AR51" type="list">
      <formula1>MATERIALS</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Y21"/>
  <sheetViews>
    <sheetView showFormulas="false" showGridLines="true" showRowColHeaders="true" showZeros="true" rightToLeft="false" tabSelected="false" showOutlineSymbols="true" defaultGridColor="true" view="normal" topLeftCell="A1" colorId="64" zoomScale="99" zoomScaleNormal="99" zoomScalePageLayoutView="100" workbookViewId="0">
      <selection pane="topLeft" activeCell="AW14" activeCellId="1" sqref="AR2 AW14"/>
    </sheetView>
  </sheetViews>
  <sheetFormatPr defaultColWidth="8.859375" defaultRowHeight="15" zeroHeight="false" outlineLevelRow="0" outlineLevelCol="0"/>
  <cols>
    <col collapsed="false" customWidth="false" hidden="false" outlineLevel="0" max="1" min="1" style="17" width="8.86"/>
    <col collapsed="false" customWidth="true" hidden="false" outlineLevel="0" max="2" min="2" style="17" width="11.86"/>
    <col collapsed="false" customWidth="false" hidden="false" outlineLevel="0" max="42" min="3" style="17" width="8.86"/>
    <col collapsed="false" customWidth="true" hidden="false" outlineLevel="0" max="43" min="43" style="17" width="11.86"/>
    <col collapsed="false" customWidth="false" hidden="false" outlineLevel="0" max="44" min="44" style="17" width="8.86"/>
    <col collapsed="false" customWidth="true" hidden="false" outlineLevel="0" max="45" min="45" style="17" width="9.86"/>
    <col collapsed="false" customWidth="true" hidden="false" outlineLevel="0" max="46" min="46" style="17" width="10.29"/>
    <col collapsed="false" customWidth="false" hidden="false" outlineLevel="0" max="47" min="47" style="17" width="8.86"/>
    <col collapsed="false" customWidth="true" hidden="false" outlineLevel="0" max="48" min="48" style="17" width="10.29"/>
    <col collapsed="false" customWidth="true" hidden="false" outlineLevel="0" max="49" min="49" style="17" width="11.86"/>
    <col collapsed="false" customWidth="false" hidden="false" outlineLevel="0" max="50" min="50" style="17" width="8.86"/>
    <col collapsed="false" customWidth="true" hidden="false" outlineLevel="0" max="51" min="51" style="17" width="11.57"/>
    <col collapsed="false" customWidth="false" hidden="false" outlineLevel="0" max="16384" min="52" style="17" width="8.86"/>
  </cols>
  <sheetData>
    <row r="1" customFormat="false" ht="15" hidden="false" customHeight="false" outlineLevel="0" collapsed="false">
      <c r="A1" s="18" t="s">
        <v>107</v>
      </c>
      <c r="B1" s="18" t="s">
        <v>55</v>
      </c>
      <c r="C1" s="18" t="s">
        <v>57</v>
      </c>
      <c r="D1" s="18" t="s">
        <v>59</v>
      </c>
      <c r="E1" s="18" t="s">
        <v>153</v>
      </c>
      <c r="F1" s="18" t="s">
        <v>154</v>
      </c>
      <c r="G1" s="18" t="s">
        <v>155</v>
      </c>
      <c r="H1" s="18" t="s">
        <v>156</v>
      </c>
      <c r="I1" s="18" t="s">
        <v>157</v>
      </c>
      <c r="J1" s="18" t="s">
        <v>158</v>
      </c>
      <c r="K1" s="18" t="s">
        <v>159</v>
      </c>
      <c r="L1" s="18" t="s">
        <v>160</v>
      </c>
      <c r="M1" s="18" t="s">
        <v>161</v>
      </c>
      <c r="N1" s="18" t="s">
        <v>162</v>
      </c>
      <c r="O1" s="18" t="s">
        <v>163</v>
      </c>
      <c r="P1" s="18" t="s">
        <v>164</v>
      </c>
      <c r="Q1" s="18" t="s">
        <v>165</v>
      </c>
      <c r="R1" s="18" t="s">
        <v>166</v>
      </c>
      <c r="S1" s="18" t="s">
        <v>167</v>
      </c>
      <c r="T1" s="18" t="s">
        <v>168</v>
      </c>
      <c r="U1" s="18" t="s">
        <v>169</v>
      </c>
      <c r="V1" s="18" t="s">
        <v>170</v>
      </c>
      <c r="W1" s="18" t="s">
        <v>171</v>
      </c>
      <c r="X1" s="18" t="s">
        <v>172</v>
      </c>
      <c r="Y1" s="18" t="s">
        <v>173</v>
      </c>
      <c r="Z1" s="18" t="s">
        <v>174</v>
      </c>
      <c r="AA1" s="18" t="s">
        <v>175</v>
      </c>
      <c r="AB1" s="18" t="s">
        <v>176</v>
      </c>
      <c r="AC1" s="18" t="s">
        <v>177</v>
      </c>
      <c r="AD1" s="18" t="s">
        <v>178</v>
      </c>
      <c r="AE1" s="18" t="s">
        <v>179</v>
      </c>
      <c r="AF1" s="18" t="s">
        <v>180</v>
      </c>
      <c r="AG1" s="18" t="s">
        <v>181</v>
      </c>
      <c r="AH1" s="18" t="s">
        <v>182</v>
      </c>
      <c r="AI1" s="18" t="s">
        <v>183</v>
      </c>
      <c r="AJ1" s="18" t="s">
        <v>184</v>
      </c>
      <c r="AK1" s="18" t="s">
        <v>185</v>
      </c>
      <c r="AL1" s="18" t="s">
        <v>186</v>
      </c>
      <c r="AM1" s="18" t="s">
        <v>187</v>
      </c>
      <c r="AN1" s="18" t="s">
        <v>188</v>
      </c>
      <c r="AO1" s="18" t="s">
        <v>189</v>
      </c>
      <c r="AP1" s="18" t="s">
        <v>65</v>
      </c>
      <c r="AQ1" s="18" t="s">
        <v>67</v>
      </c>
      <c r="AR1" s="18" t="s">
        <v>69</v>
      </c>
      <c r="AS1" s="18" t="s">
        <v>71</v>
      </c>
      <c r="AT1" s="18" t="s">
        <v>73</v>
      </c>
      <c r="AU1" s="18" t="s">
        <v>75</v>
      </c>
      <c r="AV1" s="18" t="s">
        <v>77</v>
      </c>
      <c r="AW1" s="18" t="s">
        <v>79</v>
      </c>
      <c r="AX1" s="18" t="s">
        <v>81</v>
      </c>
      <c r="AY1" s="18" t="s">
        <v>83</v>
      </c>
    </row>
    <row r="2" customFormat="false" ht="15" hidden="false" customHeight="false" outlineLevel="0" collapsed="false">
      <c r="A2" s="17" t="str">
        <f aca="false">Main_Input!A2</f>
        <v>Config1</v>
      </c>
      <c r="X2" s="19"/>
      <c r="Y2" s="19"/>
      <c r="Z2" s="19"/>
      <c r="AA2" s="19"/>
      <c r="AB2" s="19"/>
      <c r="AC2" s="19"/>
      <c r="AD2" s="19"/>
      <c r="AE2" s="19"/>
      <c r="AF2" s="19"/>
      <c r="AG2" s="19"/>
      <c r="AH2" s="19"/>
      <c r="AI2" s="19"/>
      <c r="AJ2" s="19"/>
      <c r="AK2" s="19"/>
      <c r="AL2" s="19"/>
      <c r="AM2" s="19"/>
      <c r="AN2" s="19"/>
      <c r="AO2" s="19"/>
    </row>
    <row r="3" customFormat="false" ht="15" hidden="false" customHeight="false" outlineLevel="0" collapsed="false">
      <c r="X3" s="19"/>
      <c r="Y3" s="19"/>
      <c r="Z3" s="19"/>
      <c r="AA3" s="19"/>
      <c r="AB3" s="19"/>
      <c r="AC3" s="19"/>
      <c r="AD3" s="19"/>
      <c r="AE3" s="19"/>
      <c r="AF3" s="19"/>
      <c r="AG3" s="19"/>
      <c r="AH3" s="19"/>
      <c r="AI3" s="19"/>
      <c r="AJ3" s="19"/>
      <c r="AK3" s="19"/>
      <c r="AL3" s="19"/>
      <c r="AM3" s="19"/>
      <c r="AN3" s="19"/>
      <c r="AO3" s="19"/>
    </row>
    <row r="4" customFormat="false" ht="15" hidden="false" customHeight="false" outlineLevel="0" collapsed="false">
      <c r="X4" s="19"/>
      <c r="Y4" s="19"/>
      <c r="Z4" s="19"/>
      <c r="AA4" s="19"/>
      <c r="AB4" s="19"/>
      <c r="AC4" s="19"/>
      <c r="AD4" s="19"/>
      <c r="AE4" s="19"/>
      <c r="AF4" s="19"/>
      <c r="AG4" s="19"/>
      <c r="AH4" s="19"/>
      <c r="AI4" s="19"/>
      <c r="AJ4" s="19"/>
      <c r="AK4" s="19"/>
      <c r="AL4" s="19"/>
      <c r="AM4" s="19"/>
      <c r="AN4" s="19"/>
      <c r="AO4" s="19"/>
    </row>
    <row r="21" s="20" customFormat="true" ht="15" hidden="false" customHeight="fals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21"/>
  <sheetViews>
    <sheetView showFormulas="false" showGridLines="true" showRowColHeaders="true" showZeros="true" rightToLeft="false" tabSelected="false" showOutlineSymbols="true" defaultGridColor="true" view="normal" topLeftCell="A1" colorId="64" zoomScale="99" zoomScaleNormal="99" zoomScalePageLayoutView="100" workbookViewId="0">
      <selection pane="topLeft" activeCell="A23" activeCellId="1" sqref="AR2 A23"/>
    </sheetView>
  </sheetViews>
  <sheetFormatPr defaultColWidth="8.859375" defaultRowHeight="15" zeroHeight="false" outlineLevelRow="0" outlineLevelCol="0"/>
  <cols>
    <col collapsed="false" customWidth="false" hidden="false" outlineLevel="0" max="6" min="1" style="2" width="8.86"/>
    <col collapsed="false" customWidth="true" hidden="false" outlineLevel="0" max="7" min="7" style="2" width="10"/>
    <col collapsed="false" customWidth="false" hidden="false" outlineLevel="0" max="17" min="8" style="2" width="8.86"/>
    <col collapsed="false" customWidth="true" hidden="false" outlineLevel="0" max="18" min="18" style="2" width="10.14"/>
    <col collapsed="false" customWidth="false" hidden="false" outlineLevel="0" max="19" min="19" style="2" width="8.86"/>
    <col collapsed="false" customWidth="true" hidden="false" outlineLevel="0" max="20" min="20" style="2" width="9.57"/>
    <col collapsed="false" customWidth="true" hidden="false" outlineLevel="0" max="21" min="21" style="2" width="10.57"/>
    <col collapsed="false" customWidth="false" hidden="false" outlineLevel="0" max="16384" min="22" style="2" width="8.86"/>
  </cols>
  <sheetData>
    <row r="1" customFormat="false" ht="15" hidden="false" customHeight="false" outlineLevel="0" collapsed="false">
      <c r="A1" s="21" t="s">
        <v>107</v>
      </c>
      <c r="B1" s="21" t="s">
        <v>190</v>
      </c>
      <c r="C1" s="21" t="s">
        <v>191</v>
      </c>
      <c r="D1" s="21" t="s">
        <v>192</v>
      </c>
      <c r="E1" s="21" t="s">
        <v>193</v>
      </c>
      <c r="F1" s="21" t="s">
        <v>194</v>
      </c>
      <c r="G1" s="22" t="s">
        <v>195</v>
      </c>
      <c r="H1" s="21" t="s">
        <v>196</v>
      </c>
      <c r="I1" s="21" t="s">
        <v>197</v>
      </c>
      <c r="J1" s="22" t="s">
        <v>198</v>
      </c>
      <c r="K1" s="21" t="s">
        <v>199</v>
      </c>
      <c r="L1" s="21" t="s">
        <v>200</v>
      </c>
      <c r="M1" s="22" t="s">
        <v>201</v>
      </c>
      <c r="N1" s="21" t="s">
        <v>202</v>
      </c>
      <c r="O1" s="21" t="s">
        <v>203</v>
      </c>
      <c r="P1" s="22" t="s">
        <v>204</v>
      </c>
      <c r="Q1" s="21" t="s">
        <v>205</v>
      </c>
      <c r="R1" s="21" t="s">
        <v>206</v>
      </c>
      <c r="S1" s="21" t="s">
        <v>207</v>
      </c>
      <c r="T1" s="21" t="s">
        <v>208</v>
      </c>
      <c r="U1" s="21" t="s">
        <v>209</v>
      </c>
    </row>
    <row r="2" customFormat="false" ht="15" hidden="false" customHeight="false" outlineLevel="0" collapsed="false">
      <c r="A2" s="8" t="str">
        <f aca="false">Main_Input!A2</f>
        <v>Config1</v>
      </c>
      <c r="B2" s="8" t="n">
        <v>0</v>
      </c>
      <c r="C2" s="8" t="n">
        <v>0</v>
      </c>
      <c r="D2" s="8" t="n">
        <v>0</v>
      </c>
      <c r="E2" s="8" t="n">
        <v>0</v>
      </c>
      <c r="F2" s="8" t="n">
        <v>0</v>
      </c>
      <c r="G2" s="8"/>
      <c r="H2" s="8" t="n">
        <v>0</v>
      </c>
      <c r="I2" s="8" t="n">
        <v>0</v>
      </c>
      <c r="J2" s="8"/>
      <c r="K2" s="8" t="n">
        <v>0</v>
      </c>
      <c r="L2" s="8" t="n">
        <v>0</v>
      </c>
      <c r="M2" s="8"/>
      <c r="N2" s="8" t="n">
        <v>0</v>
      </c>
      <c r="O2" s="8" t="n">
        <v>0</v>
      </c>
      <c r="P2" s="8"/>
      <c r="Q2" s="8" t="n">
        <v>0</v>
      </c>
      <c r="R2" s="8" t="n">
        <v>0</v>
      </c>
      <c r="S2" s="8" t="n">
        <v>0</v>
      </c>
      <c r="T2" s="8" t="n">
        <v>0</v>
      </c>
      <c r="U2" s="8" t="n">
        <v>0</v>
      </c>
    </row>
    <row r="3" customFormat="false" ht="15" hidden="false" customHeight="false" outlineLevel="0" collapsed="false">
      <c r="A3" s="8"/>
      <c r="B3" s="8"/>
      <c r="C3" s="8"/>
      <c r="D3" s="8"/>
      <c r="E3" s="8"/>
      <c r="F3" s="8"/>
      <c r="G3" s="8"/>
      <c r="H3" s="8"/>
      <c r="I3" s="8"/>
      <c r="J3" s="8"/>
      <c r="K3" s="8"/>
      <c r="L3" s="8"/>
      <c r="M3" s="8"/>
      <c r="N3" s="8"/>
      <c r="O3" s="8"/>
      <c r="P3" s="8"/>
      <c r="Q3" s="8"/>
      <c r="R3" s="8"/>
      <c r="S3" s="8"/>
      <c r="T3" s="8"/>
      <c r="U3" s="8"/>
    </row>
    <row r="4" customFormat="false" ht="15" hidden="false" customHeight="false" outlineLevel="0" collapsed="false">
      <c r="A4" s="8"/>
      <c r="B4" s="8"/>
      <c r="C4" s="8"/>
      <c r="D4" s="8"/>
      <c r="E4" s="8"/>
      <c r="F4" s="8"/>
      <c r="G4" s="8"/>
      <c r="H4" s="8"/>
      <c r="I4" s="8"/>
      <c r="J4" s="8"/>
      <c r="K4" s="8"/>
      <c r="L4" s="8"/>
      <c r="M4" s="8"/>
      <c r="N4" s="8"/>
      <c r="O4" s="8"/>
      <c r="P4" s="8"/>
      <c r="Q4" s="8"/>
      <c r="R4" s="8"/>
      <c r="S4" s="8"/>
      <c r="T4" s="8"/>
      <c r="U4" s="8"/>
    </row>
    <row r="5" customFormat="false" ht="15" hidden="false" customHeight="false" outlineLevel="0" collapsed="false">
      <c r="A5" s="8"/>
      <c r="B5" s="8"/>
      <c r="C5" s="8"/>
      <c r="D5" s="8"/>
      <c r="E5" s="8"/>
      <c r="F5" s="8"/>
      <c r="G5" s="8"/>
      <c r="H5" s="8"/>
      <c r="I5" s="8"/>
      <c r="J5" s="8"/>
      <c r="K5" s="8"/>
      <c r="L5" s="8"/>
      <c r="M5" s="8"/>
      <c r="N5" s="8"/>
      <c r="O5" s="8"/>
      <c r="P5" s="8"/>
      <c r="Q5" s="8"/>
      <c r="R5" s="8"/>
      <c r="S5" s="8"/>
      <c r="T5" s="8"/>
      <c r="U5" s="8"/>
    </row>
    <row r="6" customFormat="false" ht="15" hidden="false" customHeight="false" outlineLevel="0" collapsed="false">
      <c r="A6" s="8"/>
      <c r="B6" s="8"/>
      <c r="C6" s="8"/>
      <c r="D6" s="8"/>
      <c r="E6" s="8"/>
      <c r="F6" s="8"/>
      <c r="G6" s="8"/>
      <c r="H6" s="8"/>
      <c r="I6" s="8"/>
      <c r="J6" s="8"/>
      <c r="K6" s="8"/>
      <c r="L6" s="8"/>
      <c r="M6" s="8"/>
      <c r="N6" s="8"/>
      <c r="O6" s="8"/>
      <c r="P6" s="8"/>
      <c r="Q6" s="8"/>
      <c r="R6" s="8"/>
      <c r="S6" s="8"/>
      <c r="T6" s="8"/>
      <c r="U6" s="8"/>
    </row>
    <row r="7" customFormat="false" ht="15" hidden="false" customHeight="false" outlineLevel="0" collapsed="false">
      <c r="A7" s="8"/>
      <c r="B7" s="8"/>
      <c r="C7" s="8"/>
      <c r="D7" s="8"/>
      <c r="E7" s="8"/>
      <c r="F7" s="8"/>
      <c r="G7" s="8"/>
      <c r="H7" s="8"/>
      <c r="I7" s="8"/>
      <c r="J7" s="8"/>
      <c r="K7" s="8"/>
      <c r="L7" s="8"/>
      <c r="M7" s="8"/>
      <c r="N7" s="8"/>
      <c r="O7" s="8"/>
      <c r="P7" s="8"/>
      <c r="Q7" s="8"/>
      <c r="R7" s="8"/>
      <c r="S7" s="8"/>
      <c r="T7" s="8"/>
      <c r="U7" s="8"/>
    </row>
    <row r="8" customFormat="false" ht="15" hidden="false" customHeight="false" outlineLevel="0" collapsed="false">
      <c r="A8" s="8"/>
      <c r="B8" s="8"/>
      <c r="C8" s="8"/>
      <c r="D8" s="8"/>
      <c r="E8" s="8"/>
      <c r="F8" s="8"/>
      <c r="G8" s="8"/>
      <c r="H8" s="8"/>
      <c r="I8" s="8"/>
      <c r="J8" s="8"/>
      <c r="K8" s="8"/>
      <c r="L8" s="8"/>
      <c r="M8" s="8"/>
      <c r="N8" s="8"/>
      <c r="O8" s="8"/>
      <c r="P8" s="8"/>
      <c r="Q8" s="8"/>
      <c r="R8" s="8"/>
      <c r="S8" s="8"/>
      <c r="T8" s="8"/>
      <c r="U8" s="8"/>
    </row>
    <row r="9" customFormat="false" ht="15" hidden="false" customHeight="false" outlineLevel="0" collapsed="false">
      <c r="A9" s="8"/>
      <c r="B9" s="8"/>
      <c r="C9" s="8"/>
      <c r="D9" s="8"/>
      <c r="E9" s="8"/>
      <c r="F9" s="8"/>
      <c r="G9" s="8"/>
      <c r="H9" s="8"/>
      <c r="I9" s="8"/>
      <c r="J9" s="8"/>
      <c r="K9" s="8"/>
      <c r="L9" s="8"/>
      <c r="M9" s="8"/>
      <c r="N9" s="8"/>
      <c r="O9" s="8"/>
      <c r="P9" s="8"/>
      <c r="Q9" s="8"/>
      <c r="R9" s="8"/>
      <c r="S9" s="8"/>
      <c r="T9" s="8"/>
      <c r="U9" s="8"/>
    </row>
    <row r="10" customFormat="false" ht="15" hidden="false" customHeight="false" outlineLevel="0" collapsed="false">
      <c r="A10" s="8"/>
      <c r="B10" s="8"/>
      <c r="C10" s="8"/>
      <c r="D10" s="8"/>
      <c r="E10" s="8"/>
      <c r="F10" s="8"/>
      <c r="G10" s="8"/>
      <c r="H10" s="8"/>
      <c r="I10" s="8"/>
      <c r="J10" s="8"/>
      <c r="K10" s="8"/>
      <c r="L10" s="8"/>
      <c r="M10" s="8"/>
      <c r="N10" s="8"/>
      <c r="O10" s="8"/>
      <c r="P10" s="8"/>
      <c r="Q10" s="8"/>
      <c r="R10" s="8"/>
      <c r="S10" s="8"/>
      <c r="T10" s="8"/>
      <c r="U10" s="8"/>
    </row>
    <row r="11" customFormat="false" ht="15" hidden="false" customHeight="false" outlineLevel="0" collapsed="false">
      <c r="A11" s="8"/>
      <c r="B11" s="8"/>
      <c r="C11" s="8"/>
      <c r="D11" s="8"/>
      <c r="E11" s="8"/>
      <c r="F11" s="8"/>
      <c r="G11" s="8"/>
      <c r="H11" s="8"/>
      <c r="I11" s="8"/>
      <c r="J11" s="8"/>
      <c r="K11" s="8"/>
      <c r="L11" s="8"/>
      <c r="M11" s="8"/>
      <c r="N11" s="8"/>
      <c r="O11" s="8"/>
      <c r="P11" s="8"/>
      <c r="Q11" s="8"/>
      <c r="R11" s="8"/>
      <c r="S11" s="8"/>
      <c r="T11" s="8"/>
      <c r="U11" s="8"/>
    </row>
    <row r="12" customFormat="false" ht="15" hidden="false" customHeight="false" outlineLevel="0" collapsed="false">
      <c r="A12" s="8"/>
      <c r="B12" s="8"/>
      <c r="C12" s="8"/>
      <c r="D12" s="8"/>
      <c r="E12" s="8"/>
      <c r="F12" s="8"/>
      <c r="G12" s="8"/>
      <c r="H12" s="8"/>
      <c r="I12" s="8"/>
      <c r="J12" s="8"/>
      <c r="K12" s="8"/>
      <c r="L12" s="8"/>
      <c r="M12" s="8"/>
      <c r="N12" s="8"/>
      <c r="O12" s="8"/>
      <c r="P12" s="8"/>
      <c r="Q12" s="8"/>
      <c r="R12" s="8"/>
      <c r="S12" s="8"/>
      <c r="T12" s="8"/>
      <c r="U12" s="8"/>
    </row>
    <row r="13" customFormat="false" ht="15" hidden="false" customHeight="false" outlineLevel="0" collapsed="false">
      <c r="A13" s="8"/>
      <c r="B13" s="8"/>
      <c r="C13" s="8"/>
      <c r="D13" s="8"/>
      <c r="E13" s="8"/>
      <c r="F13" s="8"/>
      <c r="G13" s="8"/>
      <c r="H13" s="8"/>
      <c r="I13" s="8"/>
      <c r="J13" s="8"/>
      <c r="K13" s="8"/>
      <c r="L13" s="8"/>
      <c r="M13" s="8"/>
      <c r="N13" s="8"/>
      <c r="O13" s="8"/>
      <c r="P13" s="8"/>
      <c r="Q13" s="8"/>
      <c r="R13" s="8"/>
      <c r="S13" s="8"/>
      <c r="T13" s="8"/>
      <c r="U13" s="8"/>
    </row>
    <row r="14" customFormat="false" ht="15" hidden="false" customHeight="false" outlineLevel="0" collapsed="false">
      <c r="A14" s="8"/>
      <c r="B14" s="8"/>
      <c r="C14" s="8"/>
      <c r="D14" s="8"/>
      <c r="E14" s="8"/>
      <c r="F14" s="8"/>
      <c r="G14" s="8"/>
      <c r="H14" s="8"/>
      <c r="I14" s="8"/>
      <c r="J14" s="8"/>
      <c r="K14" s="8"/>
      <c r="L14" s="8"/>
      <c r="M14" s="8"/>
      <c r="N14" s="8"/>
      <c r="O14" s="8"/>
      <c r="P14" s="8"/>
      <c r="Q14" s="8"/>
      <c r="R14" s="8"/>
      <c r="S14" s="8"/>
      <c r="T14" s="8"/>
      <c r="U14" s="8"/>
    </row>
    <row r="15" customFormat="false" ht="15" hidden="false" customHeight="false" outlineLevel="0" collapsed="false">
      <c r="A15" s="8"/>
      <c r="B15" s="8"/>
      <c r="C15" s="8"/>
      <c r="D15" s="8"/>
      <c r="E15" s="8"/>
      <c r="F15" s="8"/>
      <c r="G15" s="8"/>
      <c r="H15" s="8"/>
      <c r="I15" s="8"/>
      <c r="J15" s="8"/>
      <c r="K15" s="8"/>
      <c r="L15" s="8"/>
      <c r="M15" s="8"/>
      <c r="N15" s="8"/>
      <c r="O15" s="8"/>
      <c r="P15" s="8"/>
      <c r="Q15" s="8"/>
      <c r="R15" s="8"/>
      <c r="S15" s="8"/>
      <c r="T15" s="8"/>
      <c r="U15" s="8"/>
    </row>
    <row r="16" customFormat="false" ht="15" hidden="false" customHeight="false" outlineLevel="0" collapsed="false">
      <c r="A16" s="8"/>
      <c r="B16" s="8"/>
      <c r="C16" s="8"/>
      <c r="D16" s="8"/>
      <c r="E16" s="8"/>
      <c r="F16" s="8"/>
      <c r="G16" s="8"/>
      <c r="H16" s="8"/>
      <c r="I16" s="8"/>
      <c r="J16" s="8"/>
      <c r="K16" s="8"/>
      <c r="L16" s="8"/>
      <c r="M16" s="8"/>
      <c r="N16" s="8"/>
      <c r="O16" s="8"/>
      <c r="P16" s="8"/>
      <c r="Q16" s="8"/>
      <c r="R16" s="8"/>
      <c r="S16" s="8"/>
      <c r="T16" s="8"/>
      <c r="U16" s="8"/>
    </row>
    <row r="17" customFormat="false" ht="15" hidden="false" customHeight="false" outlineLevel="0" collapsed="false">
      <c r="A17" s="8"/>
      <c r="B17" s="8"/>
      <c r="C17" s="8"/>
      <c r="D17" s="8"/>
      <c r="E17" s="8"/>
      <c r="F17" s="8"/>
      <c r="G17" s="8"/>
      <c r="H17" s="8"/>
      <c r="I17" s="8"/>
      <c r="J17" s="8"/>
      <c r="K17" s="8"/>
      <c r="L17" s="8"/>
      <c r="M17" s="8"/>
      <c r="N17" s="8"/>
      <c r="O17" s="8"/>
      <c r="P17" s="8"/>
      <c r="Q17" s="8"/>
      <c r="R17" s="8"/>
      <c r="S17" s="8"/>
      <c r="T17" s="8"/>
      <c r="U17" s="8"/>
    </row>
    <row r="18" customFormat="false" ht="15" hidden="false" customHeight="false" outlineLevel="0" collapsed="false">
      <c r="A18" s="8"/>
      <c r="B18" s="8"/>
      <c r="C18" s="8"/>
      <c r="D18" s="8"/>
      <c r="E18" s="8"/>
      <c r="F18" s="8"/>
      <c r="G18" s="8"/>
      <c r="H18" s="8"/>
      <c r="I18" s="8"/>
      <c r="J18" s="8"/>
      <c r="K18" s="8"/>
      <c r="L18" s="8"/>
      <c r="M18" s="8"/>
      <c r="N18" s="8"/>
      <c r="O18" s="8"/>
      <c r="P18" s="8"/>
      <c r="Q18" s="8"/>
      <c r="R18" s="8"/>
      <c r="S18" s="8"/>
      <c r="T18" s="8"/>
      <c r="U18" s="8"/>
    </row>
    <row r="19" customFormat="false" ht="15" hidden="false" customHeight="false" outlineLevel="0" collapsed="false">
      <c r="A19" s="8"/>
      <c r="B19" s="8"/>
      <c r="C19" s="8"/>
      <c r="D19" s="8"/>
      <c r="E19" s="8"/>
      <c r="F19" s="8"/>
      <c r="G19" s="8"/>
      <c r="H19" s="8"/>
      <c r="I19" s="8"/>
      <c r="J19" s="8"/>
      <c r="K19" s="8"/>
      <c r="L19" s="8"/>
      <c r="M19" s="8"/>
      <c r="N19" s="8"/>
      <c r="O19" s="8"/>
      <c r="P19" s="8"/>
      <c r="Q19" s="8"/>
      <c r="R19" s="8"/>
      <c r="S19" s="8"/>
      <c r="T19" s="8"/>
      <c r="U19" s="8"/>
    </row>
    <row r="20" customFormat="false" ht="15" hidden="false" customHeight="false" outlineLevel="0" collapsed="false">
      <c r="A20" s="8"/>
      <c r="B20" s="8"/>
      <c r="C20" s="8"/>
      <c r="D20" s="8"/>
      <c r="E20" s="8"/>
      <c r="F20" s="8"/>
      <c r="G20" s="8"/>
      <c r="H20" s="8"/>
      <c r="I20" s="8"/>
      <c r="J20" s="8"/>
      <c r="K20" s="8"/>
      <c r="L20" s="8"/>
      <c r="M20" s="8"/>
      <c r="N20" s="8"/>
      <c r="O20" s="8"/>
      <c r="P20" s="8"/>
      <c r="Q20" s="8"/>
      <c r="R20" s="8"/>
      <c r="S20" s="8"/>
      <c r="T20" s="8"/>
      <c r="U20" s="8"/>
    </row>
    <row r="21" s="23" customFormat="true" ht="15" hidden="false" customHeight="fals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
  <sheetViews>
    <sheetView showFormulas="false" showGridLines="true" showRowColHeaders="true" showZeros="true" rightToLeft="false" tabSelected="false" showOutlineSymbols="true" defaultGridColor="true" view="normal" topLeftCell="A1" colorId="64" zoomScale="99" zoomScaleNormal="99" zoomScalePageLayoutView="100" workbookViewId="0">
      <selection pane="topLeft" activeCell="F26" activeCellId="1" sqref="AR2 F26"/>
    </sheetView>
  </sheetViews>
  <sheetFormatPr defaultColWidth="8.59765625" defaultRowHeight="15" zeroHeight="false" outlineLevelRow="0" outlineLevelCol="0"/>
  <cols>
    <col collapsed="false" customWidth="true" hidden="false" outlineLevel="0" max="1" min="1" style="1" width="13.3"/>
    <col collapsed="false" customWidth="true" hidden="false" outlineLevel="0" max="2" min="2" style="1" width="15.72"/>
    <col collapsed="false" customWidth="true" hidden="false" outlineLevel="0" max="3" min="3" style="1" width="8.14"/>
    <col collapsed="false" customWidth="true" hidden="false" outlineLevel="0" max="4" min="4" style="1" width="10.7"/>
    <col collapsed="false" customWidth="true" hidden="false" outlineLevel="0" max="5" min="5" style="1" width="9.3"/>
    <col collapsed="false" customWidth="true" hidden="false" outlineLevel="0" max="8" min="6" style="1" width="14.14"/>
  </cols>
  <sheetData>
    <row r="1" customFormat="false" ht="15" hidden="false" customHeight="false" outlineLevel="0" collapsed="false">
      <c r="A1" s="4" t="s">
        <v>210</v>
      </c>
      <c r="B1" s="4" t="s">
        <v>152</v>
      </c>
      <c r="C1" s="4" t="s">
        <v>211</v>
      </c>
      <c r="D1" s="4" t="s">
        <v>212</v>
      </c>
      <c r="E1" s="4" t="s">
        <v>213</v>
      </c>
      <c r="F1" s="24" t="s">
        <v>214</v>
      </c>
      <c r="G1" s="24" t="s">
        <v>215</v>
      </c>
      <c r="H1" s="25" t="s">
        <v>216</v>
      </c>
    </row>
    <row r="2" customFormat="false" ht="15" hidden="false" customHeight="false" outlineLevel="0" collapsed="false">
      <c r="A2" s="8" t="n">
        <v>20.8</v>
      </c>
      <c r="B2" s="8" t="n">
        <v>0.295</v>
      </c>
      <c r="C2" s="8" t="n">
        <v>1240</v>
      </c>
      <c r="D2" s="8" t="n">
        <v>800</v>
      </c>
      <c r="E2" s="8" t="n">
        <v>96.1</v>
      </c>
      <c r="F2" s="26" t="n">
        <v>0</v>
      </c>
      <c r="G2" s="26" t="n">
        <v>0</v>
      </c>
      <c r="H2" s="8" t="n">
        <v>0</v>
      </c>
    </row>
    <row r="3" customFormat="false" ht="15" hidden="false" customHeight="false" outlineLevel="0" collapsed="false">
      <c r="A3" s="8" t="s">
        <v>217</v>
      </c>
      <c r="B3" s="8" t="s">
        <v>218</v>
      </c>
      <c r="C3" s="8" t="s">
        <v>217</v>
      </c>
      <c r="D3" s="8" t="s">
        <v>217</v>
      </c>
      <c r="E3" s="8" t="s">
        <v>217</v>
      </c>
      <c r="F3" s="8" t="s">
        <v>217</v>
      </c>
      <c r="G3" s="8" t="s">
        <v>217</v>
      </c>
      <c r="H3" s="8" t="s">
        <v>217</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1"/>
  <sheetViews>
    <sheetView showFormulas="false" showGridLines="true" showRowColHeaders="true" showZeros="true" rightToLeft="false" tabSelected="false" showOutlineSymbols="true" defaultGridColor="true" view="normal" topLeftCell="B1" colorId="64" zoomScale="99" zoomScaleNormal="99" zoomScalePageLayoutView="100" workbookViewId="0">
      <selection pane="topLeft" activeCell="L37" activeCellId="1" sqref="AR2 L37"/>
    </sheetView>
  </sheetViews>
  <sheetFormatPr defaultColWidth="8.59765625" defaultRowHeight="15" zeroHeight="false" outlineLevelRow="0" outlineLevelCol="0"/>
  <sheetData>
    <row r="1" customFormat="false" ht="15" hidden="false" customHeight="false" outlineLevel="0" collapsed="false">
      <c r="A1" s="27" t="s">
        <v>219</v>
      </c>
      <c r="B1" s="28" t="s">
        <v>220</v>
      </c>
      <c r="C1" s="28" t="s">
        <v>221</v>
      </c>
    </row>
    <row r="2" customFormat="false" ht="15" hidden="false" customHeight="false" outlineLevel="0" collapsed="false">
      <c r="A2" s="29" t="n">
        <v>-5</v>
      </c>
      <c r="B2" s="30" t="n">
        <v>-0.32438</v>
      </c>
      <c r="C2" s="30" t="n">
        <v>0.044251</v>
      </c>
    </row>
    <row r="3" customFormat="false" ht="15" hidden="false" customHeight="false" outlineLevel="0" collapsed="false">
      <c r="A3" s="29" t="n">
        <v>-4</v>
      </c>
      <c r="B3" s="30" t="n">
        <v>-0.21503</v>
      </c>
      <c r="C3" s="30" t="n">
        <v>0.033783</v>
      </c>
    </row>
    <row r="4" customFormat="false" ht="15" hidden="false" customHeight="false" outlineLevel="0" collapsed="false">
      <c r="A4" s="29" t="n">
        <v>-3</v>
      </c>
      <c r="B4" s="30" t="n">
        <v>-0.10081</v>
      </c>
      <c r="C4" s="30" t="n">
        <v>0.028627</v>
      </c>
    </row>
    <row r="5" customFormat="false" ht="15" hidden="false" customHeight="false" outlineLevel="0" collapsed="false">
      <c r="A5" s="29" t="n">
        <v>-2</v>
      </c>
      <c r="B5" s="30" t="n">
        <v>0.010503</v>
      </c>
      <c r="C5" s="30" t="n">
        <v>0.025864</v>
      </c>
    </row>
    <row r="6" customFormat="false" ht="15" hidden="false" customHeight="false" outlineLevel="0" collapsed="false">
      <c r="A6" s="29" t="n">
        <v>-1</v>
      </c>
      <c r="B6" s="30" t="n">
        <v>0.12155</v>
      </c>
      <c r="C6" s="30" t="n">
        <v>0.024643</v>
      </c>
    </row>
    <row r="7" customFormat="false" ht="15" hidden="false" customHeight="false" outlineLevel="0" collapsed="false">
      <c r="A7" s="29" t="n">
        <v>0</v>
      </c>
      <c r="B7" s="30" t="n">
        <v>0.24163</v>
      </c>
      <c r="C7" s="30" t="n">
        <v>0.025099</v>
      </c>
    </row>
    <row r="8" customFormat="false" ht="15" hidden="false" customHeight="false" outlineLevel="0" collapsed="false">
      <c r="A8" s="29" t="n">
        <v>1</v>
      </c>
      <c r="B8" s="30" t="n">
        <v>0.34336</v>
      </c>
      <c r="C8" s="30" t="n">
        <v>0.025635</v>
      </c>
    </row>
    <row r="9" customFormat="false" ht="15" hidden="false" customHeight="false" outlineLevel="0" collapsed="false">
      <c r="A9" s="29" t="n">
        <v>2</v>
      </c>
      <c r="B9" s="30" t="n">
        <v>0.45256</v>
      </c>
      <c r="C9" s="30" t="n">
        <v>0.02766</v>
      </c>
    </row>
    <row r="10" customFormat="false" ht="15" hidden="false" customHeight="false" outlineLevel="0" collapsed="false">
      <c r="A10" s="29" t="n">
        <v>3</v>
      </c>
      <c r="B10" s="30" t="n">
        <v>0.56037</v>
      </c>
      <c r="C10" s="30" t="n">
        <v>0.030677</v>
      </c>
    </row>
    <row r="11" customFormat="false" ht="15" hidden="false" customHeight="false" outlineLevel="0" collapsed="false">
      <c r="A11" s="29" t="n">
        <v>4</v>
      </c>
      <c r="B11" s="30" t="n">
        <v>0.66625</v>
      </c>
      <c r="C11" s="30" t="n">
        <v>0.034855</v>
      </c>
    </row>
    <row r="12" customFormat="false" ht="15" hidden="false" customHeight="false" outlineLevel="0" collapsed="false">
      <c r="A12" s="29" t="n">
        <v>5</v>
      </c>
      <c r="B12" s="30" t="n">
        <v>0.76942</v>
      </c>
      <c r="C12" s="30" t="n">
        <v>0.040403</v>
      </c>
    </row>
    <row r="13" customFormat="false" ht="15" hidden="false" customHeight="false" outlineLevel="0" collapsed="false">
      <c r="A13" s="29" t="n">
        <v>6</v>
      </c>
      <c r="B13" s="30" t="n">
        <v>0.86923</v>
      </c>
      <c r="C13" s="30" t="n">
        <v>0.04759</v>
      </c>
    </row>
    <row r="14" customFormat="false" ht="15" hidden="false" customHeight="false" outlineLevel="0" collapsed="false">
      <c r="A14" s="29" t="n">
        <v>7</v>
      </c>
      <c r="B14" s="30" t="n">
        <v>0.96386</v>
      </c>
      <c r="C14" s="30" t="n">
        <v>0.057108</v>
      </c>
    </row>
    <row r="15" customFormat="false" ht="15" hidden="false" customHeight="false" outlineLevel="0" collapsed="false">
      <c r="A15" s="29" t="n">
        <v>8</v>
      </c>
      <c r="B15" s="30" t="n">
        <v>1.0441</v>
      </c>
      <c r="C15" s="30" t="n">
        <v>0.070132</v>
      </c>
    </row>
    <row r="16" customFormat="false" ht="15" hidden="false" customHeight="false" outlineLevel="0" collapsed="false">
      <c r="A16" s="29" t="n">
        <v>9</v>
      </c>
      <c r="B16" s="30" t="n">
        <v>1.0743</v>
      </c>
      <c r="C16" s="30" t="n">
        <v>0.090921</v>
      </c>
    </row>
    <row r="17" customFormat="false" ht="15" hidden="false" customHeight="false" outlineLevel="0" collapsed="false">
      <c r="A17" s="29" t="n">
        <v>10</v>
      </c>
      <c r="B17" s="30" t="n">
        <v>1.0807</v>
      </c>
      <c r="C17" s="30" t="n">
        <v>0.11193</v>
      </c>
    </row>
    <row r="18" customFormat="false" ht="15" hidden="false" customHeight="false" outlineLevel="0" collapsed="false">
      <c r="A18" s="29" t="n">
        <v>11</v>
      </c>
      <c r="B18" s="30" t="n">
        <v>1.0379</v>
      </c>
      <c r="C18" s="30" t="n">
        <v>0.13254</v>
      </c>
    </row>
    <row r="19" customFormat="false" ht="15" hidden="false" customHeight="false" outlineLevel="0" collapsed="false">
      <c r="A19" s="29" t="n">
        <v>12</v>
      </c>
      <c r="B19" s="30" t="n">
        <v>1.034</v>
      </c>
      <c r="C19" s="30" t="n">
        <v>0.15645</v>
      </c>
    </row>
    <row r="21" customFormat="false" ht="15" hidden="false" customHeight="false" outlineLevel="0" collapsed="false">
      <c r="E21" s="31"/>
      <c r="F21" s="32"/>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99" zoomScaleNormal="99" zoomScalePageLayoutView="100" workbookViewId="0">
      <selection pane="topLeft" activeCell="U1" activeCellId="1" sqref="AR2 U1"/>
    </sheetView>
  </sheetViews>
  <sheetFormatPr defaultColWidth="8.59765625" defaultRowHeight="15" zeroHeight="false" outlineLevelRow="0" outlineLevelCol="0"/>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10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2023-12-05T19:03:00Z</dcterms:created>
  <dc:creator>John K Mah</dc:creator>
  <dc:description/>
  <dc:language>en-US</dc:language>
  <cp:lastModifiedBy/>
  <dcterms:modified xsi:type="dcterms:W3CDTF">2025-10-10T08:50:20Z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