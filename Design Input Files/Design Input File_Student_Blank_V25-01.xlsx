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media/image1.png" ContentType="image/png"/>
  <Override PartName="/xl/media/image2.svg" ContentType="image/svg"/>
  <Override PartName="/xl/media/image5.png" ContentType="image/png"/>
  <Override PartName="/xl/media/image3.jpeg" ContentType="image/jpeg"/>
  <Override PartName="/xl/media/image4.jpeg" ContentType="image/jpeg"/>
  <Override PartName="/xl/media/image6.svg" ContentType="image/svg"/>
  <Override PartName="/xl/media/image9.png" ContentType="image/png"/>
  <Override PartName="/xl/media/image10.svg" ContentType="image/svg"/>
  <Override PartName="/xl/media/image7.png" ContentType="image/png"/>
  <Override PartName="/xl/media/image8.svg" ContentType="image/sv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Variable Reference" sheetId="1" state="visible" r:id="rId3"/>
    <sheet name="Main_Input" sheetId="2" state="visible" r:id="rId4"/>
    <sheet name="Airfoil_Data" sheetId="3" state="visible" r:id="rId5"/>
    <sheet name="Component_Data" sheetId="4" state="visible" r:id="rId6"/>
    <sheet name="Materials" sheetId="5" state="visible" r:id="rId7"/>
    <sheet name="Benchmark_Truth" sheetId="6" state="visible" r:id="rId8"/>
    <sheet name="Geometry Reference" sheetId="7" state="visible" r:id="rId9"/>
  </sheets>
  <externalReferences>
    <externalReference r:id="rId10"/>
  </externalReferences>
  <definedNames>
    <definedName function="false" hidden="false" name="MATERIALS" vbProcedure="false">Materials!$A$1:$H$1</definedName>
    <definedName function="false" hidden="false" localSheetId="0" name="MATERIALS" vbProcedure="false">[1]Materials!$A$1:$H$1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John Mah:
</t>
        </r>
        <r>
          <rPr>
            <sz val="9"/>
            <color rgb="FF000000"/>
            <rFont val="Tahoma"/>
            <family val="2"/>
            <charset val="1"/>
          </rPr>
          <t xml:space="preserve">Design Configuration ID</t>
        </r>
      </text>
    </comment>
    <comment ref="B1" authorId="0">
      <text>
        <r>
          <rPr>
            <sz val="10"/>
            <rFont val="Arial"/>
            <family val="2"/>
          </rPr>
          <t xml:space="preserve">John Mah:
</t>
        </r>
        <r>
          <rPr>
            <sz val="9"/>
            <color rgb="FF000000"/>
            <rFont val="Tahoma"/>
            <family val="2"/>
            <charset val="1"/>
          </rPr>
          <t xml:space="preserve">STD Atmosphere Altitude in meters</t>
        </r>
      </text>
    </comment>
    <comment ref="C1" authorId="0">
      <text>
        <r>
          <rPr>
            <sz val="10"/>
            <rFont val="Arial"/>
            <family val="2"/>
          </rPr>
          <t xml:space="preserve">John Mah:
</t>
        </r>
        <r>
          <rPr>
            <sz val="9"/>
            <color rgb="FF000000"/>
            <rFont val="Tahoma"/>
            <family val="2"/>
            <charset val="1"/>
          </rPr>
          <t xml:space="preserve">Estimate of glide velocity (m/s)</t>
        </r>
      </text>
    </comment>
    <comment ref="D1" authorId="0">
      <text>
        <r>
          <rPr>
            <sz val="10"/>
            <rFont val="Arial"/>
            <family val="2"/>
          </rPr>
          <t xml:space="preserve">John Mah:
</t>
        </r>
        <r>
          <rPr>
            <sz val="9"/>
            <color rgb="FF000000"/>
            <rFont val="Tahoma"/>
            <family val="2"/>
            <charset val="1"/>
          </rPr>
          <t xml:space="preserve">Fuselage length in m</t>
        </r>
      </text>
    </comment>
    <comment ref="E1" authorId="0">
      <text>
        <r>
          <rPr>
            <sz val="10"/>
            <rFont val="Arial"/>
            <family val="2"/>
          </rPr>
          <t xml:space="preserve">John Mah:
</t>
        </r>
        <r>
          <rPr>
            <sz val="9"/>
            <color rgb="FF000000"/>
            <rFont val="Tahoma"/>
            <family val="2"/>
            <charset val="1"/>
          </rPr>
          <t xml:space="preserve">Fuselage max diameter in m</t>
        </r>
      </text>
    </comment>
    <comment ref="F1" authorId="0">
      <text>
        <r>
          <rPr>
            <sz val="10"/>
            <rFont val="Arial"/>
            <family val="2"/>
          </rPr>
          <t xml:space="preserve">John Mah:
</t>
        </r>
        <r>
          <rPr>
            <sz val="9"/>
            <color rgb="FF000000"/>
            <rFont val="Tahoma"/>
            <family val="2"/>
            <charset val="1"/>
          </rPr>
          <t xml:space="preserve">Fuselage finess ratio (auto calcuated from length_f and dia_f)</t>
        </r>
      </text>
    </comment>
    <comment ref="H1" authorId="0">
      <text>
        <r>
          <rPr>
            <sz val="10"/>
            <rFont val="Arial"/>
            <family val="2"/>
          </rPr>
          <t xml:space="preserve">John Mah:
</t>
        </r>
        <r>
          <rPr>
            <sz val="9"/>
            <color rgb="FF000000"/>
            <rFont val="Tahoma"/>
            <family val="2"/>
            <charset val="1"/>
          </rPr>
          <t xml:space="preserve">Max Fuselage Xsection Area in m^2 (autocalculated)</t>
        </r>
      </text>
    </comment>
    <comment ref="I1" authorId="0">
      <text>
        <r>
          <rPr>
            <sz val="10"/>
            <rFont val="Arial"/>
            <family val="2"/>
          </rPr>
          <t xml:space="preserve">John Mah:
</t>
        </r>
        <r>
          <rPr>
            <sz val="9"/>
            <color rgb="FF000000"/>
            <rFont val="Tahoma"/>
            <family val="2"/>
            <charset val="1"/>
          </rPr>
          <t xml:space="preserve">Aft Xsection Fuselage Area where departure angle &gt; 20 deg (m^2)</t>
        </r>
      </text>
    </comment>
    <comment ref="J1" authorId="0">
      <text>
        <r>
          <rPr>
            <sz val="10"/>
            <rFont val="Arial"/>
            <family val="2"/>
          </rPr>
          <t xml:space="preserve">John Mah:
</t>
        </r>
        <r>
          <rPr>
            <sz val="9"/>
            <color rgb="FF000000"/>
            <rFont val="Tahoma"/>
            <family val="2"/>
            <charset val="1"/>
          </rPr>
          <t xml:space="preserve">Wetted Fuselage Area (m^2)
</t>
        </r>
      </text>
    </comment>
    <comment ref="K1" authorId="0">
      <text>
        <r>
          <rPr>
            <sz val="10"/>
            <rFont val="Arial"/>
            <family val="2"/>
          </rPr>
          <t xml:space="preserve">John Mah:
</t>
        </r>
        <r>
          <rPr>
            <sz val="9"/>
            <color rgb="FF000000"/>
            <rFont val="Tahoma"/>
            <family val="2"/>
            <charset val="1"/>
          </rPr>
          <t xml:space="preserve">Fuselage Interference Factor (default= 1)</t>
        </r>
      </text>
    </comment>
    <comment ref="L2" authorId="0">
      <text>
        <r>
          <rPr>
            <b val="true"/>
            <sz val="9"/>
            <color rgb="FF000000"/>
            <rFont val="Tahoma"/>
            <family val="2"/>
            <charset val="1"/>
          </rPr>
          <t xml:space="preserve">John Mah:
</t>
        </r>
        <r>
          <rPr>
            <sz val="9"/>
            <color rgb="FF000000"/>
            <rFont val="Tahoma"/>
            <family val="2"/>
            <charset val="1"/>
          </rPr>
          <t xml:space="preserve">0.3 kg/m^2 by manufacture spec.  Convert to density with a standard 5 mm thickness of board (0.005 m^3 volume for 1 x 1 m square board)</t>
        </r>
      </text>
    </comment>
    <comment ref="M1" authorId="0">
      <text>
        <r>
          <rPr>
            <sz val="10"/>
            <rFont val="Arial"/>
            <family val="2"/>
          </rPr>
          <t xml:space="preserve">John Mah:
</t>
        </r>
        <r>
          <rPr>
            <sz val="9"/>
            <color rgb="FF000000"/>
            <rFont val="Tahoma"/>
            <family val="2"/>
            <charset val="1"/>
          </rPr>
          <t xml:space="preserve">Wing Planform Area (m^2)</t>
        </r>
      </text>
    </comment>
    <comment ref="N1" authorId="0">
      <text>
        <r>
          <rPr>
            <sz val="10"/>
            <rFont val="Arial"/>
            <family val="2"/>
          </rPr>
          <t xml:space="preserve">John Mah:
</t>
        </r>
        <r>
          <rPr>
            <sz val="9"/>
            <color rgb="FF000000"/>
            <rFont val="Tahoma"/>
            <family val="2"/>
            <charset val="1"/>
          </rPr>
          <t xml:space="preserve">Wing Wetted Area (m^2)</t>
        </r>
      </text>
    </comment>
    <comment ref="O1" authorId="0">
      <text>
        <r>
          <rPr>
            <sz val="10"/>
            <rFont val="Arial"/>
            <family val="2"/>
          </rPr>
          <t xml:space="preserve">John Mah:
</t>
        </r>
        <r>
          <rPr>
            <sz val="9"/>
            <color rgb="FF000000"/>
            <rFont val="Tahoma"/>
            <family val="2"/>
            <charset val="1"/>
          </rPr>
          <t xml:space="preserve">Wing Aspect Ratio</t>
        </r>
      </text>
    </comment>
    <comment ref="P1" authorId="0">
      <text>
        <r>
          <rPr>
            <sz val="10"/>
            <rFont val="Arial"/>
            <family val="2"/>
          </rPr>
          <t xml:space="preserve">John Mah:
</t>
        </r>
        <r>
          <rPr>
            <sz val="9"/>
            <color rgb="FF000000"/>
            <rFont val="Tahoma"/>
            <family val="2"/>
            <charset val="1"/>
          </rPr>
          <t xml:space="preserve">Wing Taper Ratio</t>
        </r>
      </text>
    </comment>
    <comment ref="Q1" authorId="0">
      <text>
        <r>
          <rPr>
            <sz val="10"/>
            <rFont val="Arial"/>
            <family val="2"/>
          </rPr>
          <t xml:space="preserve">John Mah:
</t>
        </r>
        <r>
          <rPr>
            <sz val="9"/>
            <color rgb="FF000000"/>
            <rFont val="Tahoma"/>
            <family val="2"/>
            <charset val="1"/>
          </rPr>
          <t xml:space="preserve">Wing Leading Edge Sweep (deg)</t>
        </r>
      </text>
    </comment>
    <comment ref="R1" authorId="0">
      <text>
        <r>
          <rPr>
            <sz val="10"/>
            <rFont val="Arial"/>
            <family val="2"/>
          </rPr>
          <t xml:space="preserve">John Mah:
</t>
        </r>
        <r>
          <rPr>
            <sz val="9"/>
            <color rgb="FF000000"/>
            <rFont val="Tahoma"/>
            <family val="2"/>
            <charset val="1"/>
          </rPr>
          <t xml:space="preserve">Wing Quarter Chord Sweep (deg)</t>
        </r>
      </text>
    </comment>
    <comment ref="S1" authorId="0">
      <text>
        <r>
          <rPr>
            <sz val="10"/>
            <rFont val="Arial"/>
            <family val="2"/>
          </rPr>
          <t xml:space="preserve">John Mah:
</t>
        </r>
        <r>
          <rPr>
            <sz val="9"/>
            <color rgb="FF000000"/>
            <rFont val="Tahoma"/>
            <family val="2"/>
            <charset val="1"/>
          </rPr>
          <t xml:space="preserve">Wing Interference Factor</t>
        </r>
      </text>
    </comment>
    <comment ref="T2" authorId="0">
      <text>
        <r>
          <rPr>
            <b val="true"/>
            <sz val="9"/>
            <color rgb="FF000000"/>
            <rFont val="Tahoma"/>
            <family val="2"/>
            <charset val="1"/>
          </rPr>
          <t xml:space="preserve">John Mah:
</t>
        </r>
        <r>
          <rPr>
            <sz val="9"/>
            <color rgb="FF000000"/>
            <rFont val="Tahoma"/>
            <family val="2"/>
            <charset val="1"/>
          </rPr>
          <t xml:space="preserve">0.3 kg/m^2 by manufacture spec.  Convert to density with a standard 5 mm thickness of board (0.005 m^3 volume for 1 x 1 m square board)</t>
        </r>
      </text>
    </comment>
    <comment ref="U1" authorId="0">
      <text>
        <r>
          <rPr>
            <sz val="10"/>
            <rFont val="Arial"/>
            <family val="2"/>
          </rPr>
          <t xml:space="preserve">John Mah:
</t>
        </r>
        <r>
          <rPr>
            <sz val="9"/>
            <color rgb="FF000000"/>
            <rFont val="Tahoma"/>
            <family val="2"/>
            <charset val="1"/>
          </rPr>
          <t xml:space="preserve">Horz Tail 1 Planform Area (m^2)</t>
        </r>
      </text>
    </comment>
    <comment ref="V1" authorId="0">
      <text>
        <r>
          <rPr>
            <sz val="10"/>
            <rFont val="Arial"/>
            <family val="2"/>
          </rPr>
          <t xml:space="preserve">John Mah:
</t>
        </r>
        <r>
          <rPr>
            <sz val="9"/>
            <color rgb="FF000000"/>
            <rFont val="Tahoma"/>
            <family val="2"/>
            <charset val="1"/>
          </rPr>
          <t xml:space="preserve">Horz Tail 1 Wetted Area (m^2)</t>
        </r>
      </text>
    </comment>
    <comment ref="W1" authorId="0">
      <text>
        <r>
          <rPr>
            <sz val="10"/>
            <rFont val="Arial"/>
            <family val="2"/>
          </rPr>
          <t xml:space="preserve">John Mah:
</t>
        </r>
        <r>
          <rPr>
            <sz val="9"/>
            <color rgb="FF000000"/>
            <rFont val="Tahoma"/>
            <family val="2"/>
            <charset val="1"/>
          </rPr>
          <t xml:space="preserve">Horz Tail 1 Aspect Ratio</t>
        </r>
      </text>
    </comment>
    <comment ref="X1" authorId="0">
      <text>
        <r>
          <rPr>
            <sz val="10"/>
            <rFont val="Arial"/>
            <family val="2"/>
          </rPr>
          <t xml:space="preserve">John Mah:
</t>
        </r>
        <r>
          <rPr>
            <sz val="9"/>
            <color rgb="FF000000"/>
            <rFont val="Tahoma"/>
            <family val="2"/>
            <charset val="1"/>
          </rPr>
          <t xml:space="preserve">Horz Tail 1 Taper Ratio</t>
        </r>
      </text>
    </comment>
    <comment ref="Y1" authorId="0">
      <text>
        <r>
          <rPr>
            <sz val="10"/>
            <rFont val="Arial"/>
            <family val="2"/>
          </rPr>
          <t xml:space="preserve">John Mah:
</t>
        </r>
        <r>
          <rPr>
            <sz val="9"/>
            <color rgb="FF000000"/>
            <rFont val="Tahoma"/>
            <family val="2"/>
            <charset val="1"/>
          </rPr>
          <t xml:space="preserve">Horz Tail 1 Leading Edge Sweep (deg)</t>
        </r>
      </text>
    </comment>
    <comment ref="Z1" authorId="0">
      <text>
        <r>
          <rPr>
            <sz val="10"/>
            <rFont val="Arial"/>
            <family val="2"/>
          </rPr>
          <t xml:space="preserve">John Mah:
</t>
        </r>
        <r>
          <rPr>
            <sz val="9"/>
            <color rgb="FF000000"/>
            <rFont val="Tahoma"/>
            <family val="2"/>
            <charset val="1"/>
          </rPr>
          <t xml:space="preserve">Horz Tail 1 Estimated Mean Aerodynamic Chord length (m).  Calculate using following equation: 
MAC = (2/3)*(Root Chord)*(1+Taper+Taper^2)/(1+Taper)</t>
        </r>
      </text>
    </comment>
    <comment ref="AA1" authorId="0">
      <text>
        <r>
          <rPr>
            <sz val="10"/>
            <rFont val="Arial"/>
            <family val="2"/>
          </rPr>
          <t xml:space="preserve">John Mah:
</t>
        </r>
        <r>
          <rPr>
            <sz val="9"/>
            <color rgb="FF000000"/>
            <rFont val="Tahoma"/>
            <family val="2"/>
            <charset val="1"/>
          </rPr>
          <t xml:space="preserve">Horz Tail 1 Interference Factor</t>
        </r>
      </text>
    </comment>
    <comment ref="AC1" authorId="0">
      <text>
        <r>
          <rPr>
            <sz val="10"/>
            <rFont val="Arial"/>
            <family val="2"/>
          </rPr>
          <t xml:space="preserve">John Mah:
</t>
        </r>
        <r>
          <rPr>
            <sz val="9"/>
            <color rgb="FF000000"/>
            <rFont val="Tahoma"/>
            <family val="2"/>
            <charset val="1"/>
          </rPr>
          <t xml:space="preserve">Vert Tail 1 Planform Area (m^2)</t>
        </r>
      </text>
    </comment>
    <comment ref="AD1" authorId="0">
      <text>
        <r>
          <rPr>
            <sz val="10"/>
            <rFont val="Arial"/>
            <family val="2"/>
          </rPr>
          <t xml:space="preserve">John Mah:
</t>
        </r>
        <r>
          <rPr>
            <sz val="9"/>
            <color rgb="FF000000"/>
            <rFont val="Tahoma"/>
            <family val="2"/>
            <charset val="1"/>
          </rPr>
          <t xml:space="preserve">Vert Tail 1 Wetted Area (m^2)</t>
        </r>
      </text>
    </comment>
    <comment ref="AE1" authorId="0">
      <text>
        <r>
          <rPr>
            <sz val="10"/>
            <rFont val="Arial"/>
            <family val="2"/>
          </rPr>
          <t xml:space="preserve">John Mah:
</t>
        </r>
        <r>
          <rPr>
            <sz val="9"/>
            <color rgb="FF000000"/>
            <rFont val="Tahoma"/>
            <family val="2"/>
            <charset val="1"/>
          </rPr>
          <t xml:space="preserve">Vert Tail 1 Aspect Ratio</t>
        </r>
      </text>
    </comment>
    <comment ref="AF1" authorId="0">
      <text>
        <r>
          <rPr>
            <sz val="10"/>
            <rFont val="Arial"/>
            <family val="2"/>
          </rPr>
          <t xml:space="preserve">John Mah:
</t>
        </r>
        <r>
          <rPr>
            <sz val="9"/>
            <color rgb="FF000000"/>
            <rFont val="Tahoma"/>
            <family val="2"/>
            <charset val="1"/>
          </rPr>
          <t xml:space="preserve">Vert Tail 1 Taper Ratio
</t>
        </r>
      </text>
    </comment>
    <comment ref="AG1" authorId="0">
      <text>
        <r>
          <rPr>
            <sz val="10"/>
            <rFont val="Arial"/>
            <family val="2"/>
          </rPr>
          <t xml:space="preserve">John Mah:
</t>
        </r>
        <r>
          <rPr>
            <sz val="9"/>
            <color rgb="FF000000"/>
            <rFont val="Tahoma"/>
            <family val="2"/>
            <charset val="1"/>
          </rPr>
          <t xml:space="preserve">Vert Tail 1 Leading Edge Sweep (deg)</t>
        </r>
      </text>
    </comment>
    <comment ref="AH1" authorId="0">
      <text>
        <r>
          <rPr>
            <sz val="10"/>
            <rFont val="Arial"/>
            <family val="2"/>
          </rPr>
          <t xml:space="preserve">John Mah:
</t>
        </r>
        <r>
          <rPr>
            <sz val="9"/>
            <color rgb="FF000000"/>
            <rFont val="Tahoma"/>
            <family val="2"/>
            <charset val="1"/>
          </rPr>
          <t xml:space="preserve">Vert Tail 1 Estimated Mean Aerodynamic Chord (m)</t>
        </r>
      </text>
    </comment>
    <comment ref="AI1" authorId="0">
      <text>
        <r>
          <rPr>
            <sz val="10"/>
            <rFont val="Arial"/>
            <family val="2"/>
          </rPr>
          <t xml:space="preserve">John Mah:
</t>
        </r>
        <r>
          <rPr>
            <sz val="9"/>
            <color rgb="FF000000"/>
            <rFont val="Tahoma"/>
            <family val="2"/>
            <charset val="1"/>
          </rPr>
          <t xml:space="preserve">Vert Tail 1 Interference Factor</t>
        </r>
      </text>
    </comment>
    <comment ref="AK1" authorId="0">
      <text>
        <r>
          <rPr>
            <sz val="10"/>
            <rFont val="Arial"/>
            <family val="2"/>
          </rPr>
          <t xml:space="preserve">John Mah:
</t>
        </r>
        <r>
          <rPr>
            <sz val="9"/>
            <color rgb="FF000000"/>
            <rFont val="Tahoma"/>
            <family val="2"/>
            <charset val="1"/>
          </rPr>
          <t xml:space="preserve">Vert Tail 2 Planform Area (m^2)</t>
        </r>
      </text>
    </comment>
    <comment ref="AL1" authorId="0">
      <text>
        <r>
          <rPr>
            <sz val="10"/>
            <rFont val="Arial"/>
            <family val="2"/>
          </rPr>
          <t xml:space="preserve">John Mah:
</t>
        </r>
        <r>
          <rPr>
            <sz val="9"/>
            <color rgb="FF000000"/>
            <rFont val="Tahoma"/>
            <family val="2"/>
            <charset val="1"/>
          </rPr>
          <t xml:space="preserve">Vert Tail 2 Wetted Area (m^2)</t>
        </r>
      </text>
    </comment>
    <comment ref="AM1" authorId="0">
      <text>
        <r>
          <rPr>
            <sz val="10"/>
            <rFont val="Arial"/>
            <family val="2"/>
          </rPr>
          <t xml:space="preserve">John Mah:
</t>
        </r>
        <r>
          <rPr>
            <sz val="9"/>
            <color rgb="FF000000"/>
            <rFont val="Tahoma"/>
            <family val="2"/>
            <charset val="1"/>
          </rPr>
          <t xml:space="preserve">Vert Tail 2 Aspect Ratio</t>
        </r>
      </text>
    </comment>
    <comment ref="AN1" authorId="0">
      <text>
        <r>
          <rPr>
            <sz val="10"/>
            <rFont val="Arial"/>
            <family val="2"/>
          </rPr>
          <t xml:space="preserve">John Mah:
</t>
        </r>
        <r>
          <rPr>
            <sz val="9"/>
            <color rgb="FF000000"/>
            <rFont val="Tahoma"/>
            <family val="2"/>
            <charset val="1"/>
          </rPr>
          <t xml:space="preserve">Vert Tail 2 Taper Ratio</t>
        </r>
      </text>
    </comment>
    <comment ref="AO1" authorId="0">
      <text>
        <r>
          <rPr>
            <sz val="10"/>
            <rFont val="Arial"/>
            <family val="2"/>
          </rPr>
          <t xml:space="preserve">John Mah:
</t>
        </r>
        <r>
          <rPr>
            <sz val="9"/>
            <color rgb="FF000000"/>
            <rFont val="Tahoma"/>
            <family val="2"/>
            <charset val="1"/>
          </rPr>
          <t xml:space="preserve">Vert Tail 2 Leading Edge Sweep (deg)</t>
        </r>
      </text>
    </comment>
    <comment ref="AP1" authorId="0">
      <text>
        <r>
          <rPr>
            <sz val="10"/>
            <rFont val="Arial"/>
            <family val="2"/>
          </rPr>
          <t xml:space="preserve">John Mah:
</t>
        </r>
        <r>
          <rPr>
            <sz val="9"/>
            <color rgb="FF000000"/>
            <rFont val="Tahoma"/>
            <family val="2"/>
            <charset val="1"/>
          </rPr>
          <t xml:space="preserve">Vert Tail 2 Estimated Mean Aerodynamic Chord (m)</t>
        </r>
      </text>
    </comment>
    <comment ref="AQ1" authorId="0">
      <text>
        <r>
          <rPr>
            <sz val="10"/>
            <rFont val="Arial"/>
            <family val="2"/>
          </rPr>
          <t xml:space="preserve">John Mah:
</t>
        </r>
        <r>
          <rPr>
            <sz val="9"/>
            <color rgb="FF000000"/>
            <rFont val="Tahoma"/>
            <family val="2"/>
            <charset val="1"/>
          </rPr>
          <t xml:space="preserve">Vert Tail 2 Interference Factor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wing MAC.</t>
        </r>
      </text>
    </comment>
    <comment ref="K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 ref="N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 ref="Q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John Mah:
</t>
        </r>
        <r>
          <rPr>
            <sz val="9"/>
            <color rgb="FF000000"/>
            <rFont val="Tahoma"/>
            <family val="2"/>
            <charset val="1"/>
          </rPr>
          <t xml:space="preserve">0.3 kg/m^2 by manufacture spec.  Convert to density with a standard 5 mm thickness of board (0.005 m^3 volume for 1 x 1 m square board)</t>
        </r>
      </text>
    </comment>
    <comment ref="F1" authorId="0">
      <text>
        <r>
          <rPr>
            <sz val="10"/>
            <rFont val="Arial"/>
            <family val="2"/>
          </rPr>
          <t xml:space="preserve">John Mah:
</t>
        </r>
        <r>
          <rPr>
            <sz val="9"/>
            <color rgb="FF000000"/>
            <rFont val="Tahoma"/>
            <family val="0"/>
            <charset val="1"/>
          </rPr>
          <t xml:space="preserve">User specified material density</t>
        </r>
      </text>
    </comment>
    <comment ref="G1" authorId="0">
      <text>
        <r>
          <rPr>
            <sz val="10"/>
            <rFont val="Arial"/>
            <family val="2"/>
          </rPr>
          <t xml:space="preserve">John Mah:
</t>
        </r>
        <r>
          <rPr>
            <sz val="9"/>
            <color rgb="FF000000"/>
            <rFont val="Tahoma"/>
            <family val="0"/>
            <charset val="1"/>
          </rPr>
          <t xml:space="preserve">User specified material density</t>
        </r>
      </text>
    </comment>
  </commentList>
</comments>
</file>

<file path=xl/sharedStrings.xml><?xml version="1.0" encoding="utf-8"?>
<sst xmlns="http://schemas.openxmlformats.org/spreadsheetml/2006/main" count="397" uniqueCount="222">
  <si>
    <t xml:space="preserve">Worksheet</t>
  </si>
  <si>
    <t xml:space="preserve">Variable Name</t>
  </si>
  <si>
    <t xml:space="preserve">Units</t>
  </si>
  <si>
    <t xml:space="preserve">Description</t>
  </si>
  <si>
    <t xml:space="preserve">Main_Input</t>
  </si>
  <si>
    <t xml:space="preserve">N/A</t>
  </si>
  <si>
    <t xml:space="preserve">User defined configuration number label.  Used to differentiate different designs or trade study variations in designs.</t>
  </si>
  <si>
    <t xml:space="preserve">m</t>
  </si>
  <si>
    <t xml:space="preserve">Analysis altitude.  Utilized to find standard atmosphere properties in model via the atmos function.</t>
  </si>
  <si>
    <t xml:space="preserve">m/s</t>
  </si>
  <si>
    <t xml:space="preserve">Representative vehicle true velocity. Used to calculate Reynolds number for model analysis of skin friction drag.  Value should be selected to represent the most prevalent or important mission velocity expected.</t>
  </si>
  <si>
    <t xml:space="preserve">Length of fuselage.</t>
  </si>
  <si>
    <t xml:space="preserve">Maxium diameter of fuselage.</t>
  </si>
  <si>
    <t xml:space="preserve">Fuselage fineness ratio.  Determined by dividing fuselage length by fuselage diameter.</t>
  </si>
  <si>
    <t xml:space="preserve">Fuselage wall thickness.</t>
  </si>
  <si>
    <t xml:space="preserve">m^2</t>
  </si>
  <si>
    <t xml:space="preserve">Maximum fuselage cross-section area.</t>
  </si>
  <si>
    <t xml:space="preserve">Fuselage base drag cross section area.  Determined by finding the cross section in the aft portion of the fuselage where the departure angle of the fuselage contour is &gt; 20 deg.  If this never occurs, then this value is zero.</t>
  </si>
  <si>
    <t xml:space="preserve">Wetted area of fuselage equal to the total exposed surface area of the fuselage.</t>
  </si>
  <si>
    <t xml:space="preserve">Fuselage interference factor.  Default value is 1.0. for basic streamlined tube fuselage.  Can be &gt; 1.0 if significant fuselage protrusions exist.</t>
  </si>
  <si>
    <t xml:space="preserve">Material used to fabricate fuselage.  Options limited to those listed in "Material" tab.</t>
  </si>
  <si>
    <t xml:space="preserve">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</si>
  <si>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</si>
  <si>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 xml:space="preserve">Aspect ratio of the wing.  See Wing Geometry reference sheet for equation.</t>
  </si>
  <si>
    <t xml:space="preserve">Taper ratio of the wing (ratio of root chord to tip chord length). See Wing Geometry reference sheet for equation.</t>
  </si>
  <si>
    <t xml:space="preserve">deg</t>
  </si>
  <si>
    <t xml:space="preserve">Leading edge sweep of the main wing.</t>
  </si>
  <si>
    <t xml:space="preserve">Sweep angle of the line connecting the quarter chord of the main wing from root to tip.</t>
  </si>
  <si>
    <t xml:space="preserve">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</si>
  <si>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Material used to fabricate wing.  Options limited to those listed in "Material" tab.</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</si>
  <si>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</si>
  <si>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</si>
  <si>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 xml:space="preserve">Aspect ratio of horizontal stabilizer #1. See Wing Geometry reference sheet for equation.</t>
  </si>
  <si>
    <t xml:space="preserve">Taper ratio of the horizontal stabilizer #1 (ratio of root chord to tip chord length). See Wing Geometry reference sheet for equation.</t>
  </si>
  <si>
    <t xml:space="preserve">Leading edge sweep of the horizontal stabilizer #1.</t>
  </si>
  <si>
    <t xml:space="preserve">Estimate of the mean aerodynamic chord of the horizontal stabilizer #1.  Can roughly estimate by taking the average of the root chord and tip chord of the horizontal stabilizer.  Utilized to determine Reynolds number effects for horizontal tail.</t>
  </si>
  <si>
    <t xml:space="preserve">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</si>
  <si>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Material used to fabricate horizontal stabilizer #1.  Options limited to those listed in "Material" tab.</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</si>
  <si>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</si>
  <si>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</si>
  <si>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 xml:space="preserve">Aspect ratio of vertical stabilizer #1. See Wing Geometry reference sheet for equation.</t>
  </si>
  <si>
    <t xml:space="preserve">Taper ratio of the vertical stabilizer #1 (ratio of root chord to tip chord length). See Wing Geometry reference sheet for equation.</t>
  </si>
  <si>
    <t xml:space="preserve">Leading edge sweep of the vertical stabilizer #1.</t>
  </si>
  <si>
    <t xml:space="preserve">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</si>
  <si>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</si>
  <si>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Material used to fabricate vertial stabilizer #1  Options limited to those listed in "Material" tab.</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</si>
  <si>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</si>
  <si>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</si>
  <si>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 xml:space="preserve">Aspect ratio of vertical stabilizer #2. See Wing Geometry reference sheet for equation.</t>
  </si>
  <si>
    <t xml:space="preserve">Taper ratio of the vertical stabilizer #2 (ratio of root chord to tip chord length). See Wing Geometry reference sheet for equation.</t>
  </si>
  <si>
    <t xml:space="preserve">Leading edge sweep of the vertical stabilizer #2.</t>
  </si>
  <si>
    <t xml:space="preserve">Estimate of the mean aerodynamic chord of the vertical stabilizer #2.  Can roughly estimate by taking the average of the root chord and tip chord of the vertical stabilizer.  Utilized to determine Reynolds number effects for vertical tail.</t>
  </si>
  <si>
    <t xml:space="preserve">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</si>
  <si>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Material used to fabricate vertial stabilizer #2  Options limited to those listed in "Material" tab.</t>
  </si>
  <si>
    <t xml:space="preserve">Airfoil_Data</t>
  </si>
  <si>
    <t xml:space="preserve">Airfoil_w</t>
  </si>
  <si>
    <t xml:space="preserve">Main wing airfoil name.</t>
  </si>
  <si>
    <t xml:space="preserve">Thick_w</t>
  </si>
  <si>
    <t xml:space="preserve">Main wing airfoil thickness to chord ratio.</t>
  </si>
  <si>
    <t xml:space="preserve">X_thick_w</t>
  </si>
  <si>
    <t xml:space="preserve">Main wing airfoil location of max thickness in percent chord.</t>
  </si>
  <si>
    <t xml:space="preserve">Cl_XXX</t>
  </si>
  <si>
    <t xml:space="preserve">2D airfoil coefficient of lift data from -5 deg AoA to 12 deg AoA (as denoted by value XXX after the Cl_)</t>
  </si>
  <si>
    <t xml:space="preserve">Cd_XXX</t>
  </si>
  <si>
    <t xml:space="preserve">2D airfoil coefficient of drag data from -5 deg AoA to 12 deg AoA (as denoted by value XXX after the Cd_)</t>
  </si>
  <si>
    <t xml:space="preserve">Cd_min</t>
  </si>
  <si>
    <t xml:space="preserve">Minimum value of airfoil coefficient of drag data.</t>
  </si>
  <si>
    <t xml:space="preserve">Airfoil_h1</t>
  </si>
  <si>
    <t xml:space="preserve">Horizontal stabilizer #1 airfoil name.</t>
  </si>
  <si>
    <t xml:space="preserve">Thick_h1</t>
  </si>
  <si>
    <t xml:space="preserve">Horizontal stabilizer #1 airfoil thickness to chord ratio.</t>
  </si>
  <si>
    <t xml:space="preserve">X_thick_h1</t>
  </si>
  <si>
    <t xml:space="preserve">Horizontal stabilizer #1 airfoil location of max thickness in percent chord.</t>
  </si>
  <si>
    <t xml:space="preserve">Airfoil_v1</t>
  </si>
  <si>
    <t xml:space="preserve">Vertical stabilizer #1 airfoil name.</t>
  </si>
  <si>
    <t xml:space="preserve">Thick_v1</t>
  </si>
  <si>
    <t xml:space="preserve">Vertical stabilizer #1 airfoil thickness to chord ratio.</t>
  </si>
  <si>
    <t xml:space="preserve">X_thick_v1</t>
  </si>
  <si>
    <t xml:space="preserve">Vertical stabilizer #1 airfoil location of max thickness in percent chord.</t>
  </si>
  <si>
    <t xml:space="preserve">Airfoil_v2</t>
  </si>
  <si>
    <t xml:space="preserve">Vertical stabilizer #2 airfoil name.</t>
  </si>
  <si>
    <t xml:space="preserve">Thick_v2</t>
  </si>
  <si>
    <t xml:space="preserve">Vertical stabilizer #2 airfoil thickness to chord ratio.</t>
  </si>
  <si>
    <t xml:space="preserve">X_thick_v2</t>
  </si>
  <si>
    <t xml:space="preserve">Vertical stabilizer #2 airfoil location of max thickness in percent chord.</t>
  </si>
  <si>
    <t xml:space="preserve">Component_Data</t>
  </si>
  <si>
    <t xml:space="preserve">g</t>
  </si>
  <si>
    <t xml:space="preserve">Measured mass of nosecone.  Set to zero prior to fabrication to estimate using weight model.</t>
  </si>
  <si>
    <t xml:space="preserve">Longitudinal location of nosecone CG.</t>
  </si>
  <si>
    <t xml:space="preserve">Measured mass of fuselage (w/out nosecone).  Set to zero prior to fabrication to estimate using weight model.</t>
  </si>
  <si>
    <t xml:space="preserve">Longitudinal location of fuselage CG.  If set to zero, assumes at half the fuselage length.</t>
  </si>
  <si>
    <t xml:space="preserve">Measured mass of wing.  Set to zero prior to fabrication to estimate using weight model.</t>
  </si>
  <si>
    <t xml:space="preserve">Longitudinal location of wing leading edge at root chord based on configuration design.  DO NOT LEAVE AT ZERO.</t>
  </si>
  <si>
    <t xml:space="preserve">Longitudinal location of wing CG.  If set to zero, models based on wing leading edge position + 30% of MAC.</t>
  </si>
  <si>
    <t xml:space="preserve">Measured mass of horz stabilizer #1.  Set to zero prior to fabrication to estimate using weight model.</t>
  </si>
  <si>
    <t xml:space="preserve">Longitudinal location of horiz stabilizer #1 leading edge at root chord based on configuration design.  DO NOT LEAVE AT ZERO UNLESS NOT PRESENT.</t>
  </si>
  <si>
    <t xml:space="preserve">Longitudinal location of horz stabilizer #1 CG.  If set to zero, models based on tail leading edge position + 30% of MAC.</t>
  </si>
  <si>
    <t xml:space="preserve">Measured mass of vertical stabilizer #1.  Set to zero prior to fabrication to estimate using weight model.</t>
  </si>
  <si>
    <t xml:space="preserve">Longitudinal location of vertical stabilizer #1 leading edge at root chord based on configuration design.  DO NOT LEAVE AT ZERO UNLESS NOT PRESENT.</t>
  </si>
  <si>
    <t xml:space="preserve">Longitudinal location of vertical stabilizer #1 CG. If set to zero, models based on tail leading edge position + 30% of MAC.</t>
  </si>
  <si>
    <t xml:space="preserve">Measured mass of vertical stabilizer #2.  Set to zero prior to fabrication to estimate using weight model.</t>
  </si>
  <si>
    <t xml:space="preserve">Longitudinal location of vertical stabilizer #2 leading edge at root chord based on configuration design.  DO NOT LEAVE AT ZERO UNLESS NOT PRESENT.</t>
  </si>
  <si>
    <t xml:space="preserve">Longitudinal location of vertical stabilizer #2 CG. If set to zero, models based on tail leading edge position + 30% of MAC.</t>
  </si>
  <si>
    <t xml:space="preserve">Measured mass of payload.  Must be manually defined (no model).</t>
  </si>
  <si>
    <t xml:space="preserve">Longitudinal location of payload CG. Must be manually defined (no model)</t>
  </si>
  <si>
    <t xml:space="preserve">Measured mass of ballast. Must be manually defined (no model)</t>
  </si>
  <si>
    <t xml:space="preserve">Longitudinal location of ballast CG. Must be manually defined (no model)</t>
  </si>
  <si>
    <t xml:space="preserve">Config</t>
  </si>
  <si>
    <t xml:space="preserve">altitude_o</t>
  </si>
  <si>
    <t xml:space="preserve">V_o</t>
  </si>
  <si>
    <t xml:space="preserve">Length_f</t>
  </si>
  <si>
    <t xml:space="preserve">Dia_f</t>
  </si>
  <si>
    <t xml:space="preserve">Fine_f</t>
  </si>
  <si>
    <t xml:space="preserve">Thick_f</t>
  </si>
  <si>
    <t xml:space="preserve">Amax_f</t>
  </si>
  <si>
    <t xml:space="preserve">Abase_f</t>
  </si>
  <si>
    <t xml:space="preserve">Swet_f</t>
  </si>
  <si>
    <t xml:space="preserve">Q_f</t>
  </si>
  <si>
    <t xml:space="preserve">Fuse_Mat</t>
  </si>
  <si>
    <t xml:space="preserve">Sref_w</t>
  </si>
  <si>
    <t xml:space="preserve">Swet_w</t>
  </si>
  <si>
    <t xml:space="preserve">AR_w</t>
  </si>
  <si>
    <t xml:space="preserve">Taper_w</t>
  </si>
  <si>
    <t xml:space="preserve">Sweep_w</t>
  </si>
  <si>
    <t xml:space="preserve">QuarterSweep_w</t>
  </si>
  <si>
    <t xml:space="preserve">Q_w</t>
  </si>
  <si>
    <t xml:space="preserve">Wing_Mat</t>
  </si>
  <si>
    <t xml:space="preserve">Sref-h1</t>
  </si>
  <si>
    <t xml:space="preserve">Swet_h1</t>
  </si>
  <si>
    <t xml:space="preserve">AR_h1</t>
  </si>
  <si>
    <t xml:space="preserve">Taper_h1</t>
  </si>
  <si>
    <t xml:space="preserve">Sweep_h1</t>
  </si>
  <si>
    <t xml:space="preserve">MAC_h1</t>
  </si>
  <si>
    <t xml:space="preserve">Q_h1</t>
  </si>
  <si>
    <t xml:space="preserve">h1_Mat</t>
  </si>
  <si>
    <t xml:space="preserve">Sref-v1</t>
  </si>
  <si>
    <t xml:space="preserve">Swet_v1</t>
  </si>
  <si>
    <t xml:space="preserve">AR_v1</t>
  </si>
  <si>
    <t xml:space="preserve">Taper_v1</t>
  </si>
  <si>
    <t xml:space="preserve">Sweep_v1</t>
  </si>
  <si>
    <t xml:space="preserve">MAC_v1</t>
  </si>
  <si>
    <t xml:space="preserve">Q_v1</t>
  </si>
  <si>
    <t xml:space="preserve">v1_Mat</t>
  </si>
  <si>
    <t xml:space="preserve">Sref-v2</t>
  </si>
  <si>
    <t xml:space="preserve">Swet_v2</t>
  </si>
  <si>
    <t xml:space="preserve">AR_v2</t>
  </si>
  <si>
    <t xml:space="preserve">Taper_v2</t>
  </si>
  <si>
    <t xml:space="preserve">Sweep_v2</t>
  </si>
  <si>
    <t xml:space="preserve">MAC_v2</t>
  </si>
  <si>
    <t xml:space="preserve">Q_v2</t>
  </si>
  <si>
    <t xml:space="preserve">v2_Mat</t>
  </si>
  <si>
    <t xml:space="preserve">Config1</t>
  </si>
  <si>
    <t xml:space="preserve">rhoA_foamboard</t>
  </si>
  <si>
    <t xml:space="preserve">Cl_neg5</t>
  </si>
  <si>
    <t xml:space="preserve">Cl_neg4</t>
  </si>
  <si>
    <t xml:space="preserve">Cl_neg3</t>
  </si>
  <si>
    <t xml:space="preserve">Cl_neg2</t>
  </si>
  <si>
    <t xml:space="preserve">Cl_neg1</t>
  </si>
  <si>
    <t xml:space="preserve">Cl_0</t>
  </si>
  <si>
    <t xml:space="preserve">Cl_1</t>
  </si>
  <si>
    <t xml:space="preserve">Cl_2</t>
  </si>
  <si>
    <t xml:space="preserve">Cl_3</t>
  </si>
  <si>
    <t xml:space="preserve">Cl_4</t>
  </si>
  <si>
    <t xml:space="preserve">Cl_5</t>
  </si>
  <si>
    <t xml:space="preserve">Cl_6</t>
  </si>
  <si>
    <t xml:space="preserve">Cl_7</t>
  </si>
  <si>
    <t xml:space="preserve">Cl_8</t>
  </si>
  <si>
    <t xml:space="preserve">Cl_9</t>
  </si>
  <si>
    <t xml:space="preserve">Cl_10</t>
  </si>
  <si>
    <t xml:space="preserve">Cl_11</t>
  </si>
  <si>
    <t xml:space="preserve">Cl_12</t>
  </si>
  <si>
    <t xml:space="preserve">Cl_max</t>
  </si>
  <si>
    <t xml:space="preserve">Cd_neg5</t>
  </si>
  <si>
    <t xml:space="preserve">Cd_neg4</t>
  </si>
  <si>
    <t xml:space="preserve">Cd_neg3</t>
  </si>
  <si>
    <t xml:space="preserve">Cd_neg2</t>
  </si>
  <si>
    <t xml:space="preserve">Cd_neg1</t>
  </si>
  <si>
    <t xml:space="preserve">Cd_0</t>
  </si>
  <si>
    <t xml:space="preserve">Cd_1</t>
  </si>
  <si>
    <t xml:space="preserve">Cd_2</t>
  </si>
  <si>
    <t xml:space="preserve">Cd_3</t>
  </si>
  <si>
    <t xml:space="preserve">Cd_4</t>
  </si>
  <si>
    <t xml:space="preserve">Cd_5</t>
  </si>
  <si>
    <t xml:space="preserve">Cd_6</t>
  </si>
  <si>
    <t xml:space="preserve">Cd_7</t>
  </si>
  <si>
    <t xml:space="preserve">Cd_8</t>
  </si>
  <si>
    <t xml:space="preserve">Cd_9</t>
  </si>
  <si>
    <t xml:space="preserve">Cd_10</t>
  </si>
  <si>
    <t xml:space="preserve">Cd_11</t>
  </si>
  <si>
    <t xml:space="preserve">Cd_12</t>
  </si>
  <si>
    <t xml:space="preserve">m_nose</t>
  </si>
  <si>
    <t xml:space="preserve">Xcg_nose</t>
  </si>
  <si>
    <t xml:space="preserve">m_fuse</t>
  </si>
  <si>
    <t xml:space="preserve">Xcg_fuse</t>
  </si>
  <si>
    <t xml:space="preserve">m_wing</t>
  </si>
  <si>
    <t xml:space="preserve">X_LE_wing</t>
  </si>
  <si>
    <t xml:space="preserve">Xcg_wing</t>
  </si>
  <si>
    <t xml:space="preserve">m_h1</t>
  </si>
  <si>
    <t xml:space="preserve">X_LE_h1</t>
  </si>
  <si>
    <t xml:space="preserve">Xcg_h1</t>
  </si>
  <si>
    <t xml:space="preserve">m_v1</t>
  </si>
  <si>
    <t xml:space="preserve">X_LE_v1</t>
  </si>
  <si>
    <t xml:space="preserve">Xcg_v1</t>
  </si>
  <si>
    <t xml:space="preserve">m_v2</t>
  </si>
  <si>
    <t xml:space="preserve">X_LE_v2</t>
  </si>
  <si>
    <t xml:space="preserve">Xcg_v2</t>
  </si>
  <si>
    <t xml:space="preserve">m_pay</t>
  </si>
  <si>
    <t xml:space="preserve">Xcg_pay</t>
  </si>
  <si>
    <t xml:space="preserve">m_ballast</t>
  </si>
  <si>
    <t xml:space="preserve">Xcg_ballast</t>
  </si>
  <si>
    <t xml:space="preserve">rho_pinkfoam</t>
  </si>
  <si>
    <t xml:space="preserve">rho_PLA</t>
  </si>
  <si>
    <t xml:space="preserve">rho_LWPLA</t>
  </si>
  <si>
    <t xml:space="preserve">rho_balsa</t>
  </si>
  <si>
    <t xml:space="preserve">rho_material_x</t>
  </si>
  <si>
    <t xml:space="preserve">rho_material_y</t>
  </si>
  <si>
    <t xml:space="preserve">NONE</t>
  </si>
  <si>
    <t xml:space="preserve">kg/m^3</t>
  </si>
  <si>
    <t xml:space="preserve">kg/m^2</t>
  </si>
  <si>
    <t xml:space="preserve">AoA</t>
  </si>
  <si>
    <t xml:space="preserve">CL</t>
  </si>
  <si>
    <t xml:space="preserve">CD</t>
  </si>
</sst>
</file>

<file path=xl/styles.xml><?xml version="1.0" encoding="utf-8"?>
<styleSheet xmlns="http://schemas.openxmlformats.org/spreadsheetml/2006/main">
  <numFmts count="2">
    <numFmt numFmtId="164" formatCode="General"/>
    <numFmt numFmtId="165" formatCode="0.0000"/>
  </numFmts>
  <fonts count="12">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name val="Arial"/>
      <family val="2"/>
    </font>
    <font>
      <sz val="9"/>
      <color rgb="FF000000"/>
      <name val="Tahoma"/>
      <family val="2"/>
      <charset val="1"/>
    </font>
    <font>
      <b val="true"/>
      <sz val="9"/>
      <color rgb="FF000000"/>
      <name val="Tahoma"/>
      <family val="2"/>
      <charset val="1"/>
    </font>
    <font>
      <sz val="9"/>
      <color rgb="FF000000"/>
      <name val="Tahoma"/>
      <family val="0"/>
      <charset val="1"/>
    </font>
    <font>
      <sz val="9"/>
      <color rgb="FF000000"/>
      <name val="Arial"/>
      <family val="2"/>
      <charset val="1"/>
    </font>
    <font>
      <b val="true"/>
      <i val="true"/>
      <sz val="9"/>
      <color rgb="FF000000"/>
      <name val="Arial"/>
      <family val="2"/>
      <charset val="1"/>
    </font>
    <font>
      <sz val="10"/>
      <color rgb="FF000000"/>
      <name val="Arial"/>
      <family val="2"/>
      <charset val="1"/>
    </font>
  </fonts>
  <fills count="11">
    <fill>
      <patternFill patternType="none"/>
    </fill>
    <fill>
      <patternFill patternType="gray125"/>
    </fill>
    <fill>
      <patternFill patternType="solid">
        <fgColor theme="8" tint="0.3999"/>
        <bgColor rgb="FF8FAADC"/>
      </patternFill>
    </fill>
    <fill>
      <patternFill patternType="solid">
        <fgColor theme="3" tint="0.7999"/>
        <bgColor rgb="FFD9D9D9"/>
      </patternFill>
    </fill>
    <fill>
      <patternFill patternType="solid">
        <fgColor theme="4" tint="0.3999"/>
        <bgColor rgb="FF9DC3E6"/>
      </patternFill>
    </fill>
    <fill>
      <patternFill patternType="solid">
        <fgColor theme="5" tint="0.7999"/>
        <bgColor rgb="FFD9D9D9"/>
      </patternFill>
    </fill>
    <fill>
      <patternFill patternType="solid">
        <fgColor theme="5" tint="0.3999"/>
        <bgColor rgb="FFFF99CC"/>
      </patternFill>
    </fill>
    <fill>
      <patternFill patternType="solid">
        <fgColor theme="9" tint="0.5999"/>
        <bgColor rgb="FFD9D9D9"/>
      </patternFill>
    </fill>
    <fill>
      <patternFill patternType="solid">
        <fgColor theme="1"/>
        <bgColor rgb="FF003300"/>
      </patternFill>
    </fill>
    <fill>
      <patternFill patternType="solid">
        <fgColor theme="0" tint="-0.15"/>
        <bgColor rgb="FFD6DCE5"/>
      </patternFill>
    </fill>
    <fill>
      <patternFill patternType="solid">
        <fgColor rgb="FFFFFF00"/>
        <bgColor rgb="FFFFFF00"/>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medium"/>
      <right style="medium"/>
      <top/>
      <bottom style="mediu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0" fillId="5" borderId="1" xfId="0" applyFont="true" applyBorder="true" applyAlignment="true" applyProtection="false">
      <alignment horizontal="center" vertical="bottom" textRotation="0" wrapText="false" indent="0" shrinkToFit="false"/>
      <protection locked="true" hidden="false"/>
    </xf>
    <xf numFmtId="164" fontId="0" fillId="6" borderId="1" xfId="0" applyFont="true" applyBorder="true" applyAlignment="true" applyProtection="false">
      <alignment horizontal="center" vertical="bottom" textRotation="0" wrapText="false" indent="0" shrinkToFit="false"/>
      <protection locked="true" hidden="false"/>
    </xf>
    <xf numFmtId="164" fontId="0" fillId="7"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0" fillId="8" borderId="1" xfId="0" applyFont="fals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 fillId="7" borderId="1" xfId="0" applyFont="tru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0" fillId="8" borderId="1" xfId="0" applyFont="false" applyBorder="true" applyAlignment="true" applyProtection="false">
      <alignment horizontal="center" vertical="center" textRotation="0" wrapText="false" indent="0" shrinkToFit="false"/>
      <protection locked="true" hidden="false"/>
    </xf>
    <xf numFmtId="164" fontId="4" fillId="9" borderId="1" xfId="0" applyFont="true" applyBorder="true" applyAlignment="true" applyProtection="false">
      <alignment horizontal="center" vertical="bottom" textRotation="0" wrapText="false" indent="0" shrinkToFit="false"/>
      <protection locked="true" hidden="false"/>
    </xf>
    <xf numFmtId="164" fontId="4" fillId="10" borderId="1" xfId="0" applyFont="true" applyBorder="true" applyAlignment="true" applyProtection="false">
      <alignment horizontal="center" vertical="bottom" textRotation="0" wrapText="false" indent="0" shrinkToFit="false"/>
      <protection locked="true" hidden="false"/>
    </xf>
    <xf numFmtId="164" fontId="0" fillId="8" borderId="0" xfId="0" applyFont="false" applyBorder="false" applyAlignment="true" applyProtection="false">
      <alignment horizontal="center" vertical="bottom" textRotation="0" wrapText="false" indent="0" shrinkToFit="false"/>
      <protection locked="true" hidden="false"/>
    </xf>
    <xf numFmtId="164" fontId="4" fillId="2" borderId="2" xfId="0" applyFont="true" applyBorder="true" applyAlignment="fals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0" fillId="10" borderId="1" xfId="0" applyFont="false" applyBorder="true" applyAlignment="true" applyProtection="false">
      <alignment horizontal="center" vertical="bottom" textRotation="0" wrapText="false" indent="0" shrinkToFit="false"/>
      <protection locked="true" hidden="false"/>
    </xf>
    <xf numFmtId="164" fontId="9" fillId="2" borderId="3" xfId="0" applyFont="true" applyBorder="true" applyAlignment="true" applyProtection="false">
      <alignment horizontal="center" vertical="center" textRotation="0" wrapText="true" indent="0" shrinkToFit="false"/>
      <protection locked="true" hidden="false"/>
    </xf>
    <xf numFmtId="164" fontId="10" fillId="2" borderId="4" xfId="0" applyFont="true" applyBorder="true" applyAlignment="true" applyProtection="false">
      <alignment horizontal="center"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8FAADC"/>
      <rgbColor rgb="FF993366"/>
      <rgbColor rgb="FFFBE5D6"/>
      <rgbColor rgb="FFCCFFFF"/>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5E0B4"/>
      <rgbColor rgb="FFFFFF99"/>
      <rgbColor rgb="FF9DC3E6"/>
      <rgbColor rgb="FFFF99CC"/>
      <rgbColor rgb="FFCC99FF"/>
      <rgbColor rgb="FFF4B183"/>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externalLink" Target="externalLinks/externalLink1.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svg"/>
</Relationships>
</file>

<file path=xl/drawings/_rels/drawing2.xml.rels><?xml version="1.0" encoding="UTF-8"?>
<Relationships xmlns="http://schemas.openxmlformats.org/package/2006/relationships"><Relationship Id="rId1" Type="http://schemas.openxmlformats.org/officeDocument/2006/relationships/image" Target="../media/image3.jpeg"/><Relationship Id="rId2" Type="http://schemas.openxmlformats.org/officeDocument/2006/relationships/image" Target="../media/image4.jpeg"/>
</Relationships>
</file>

<file path=xl/drawings/_rels/drawing3.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svg"/><Relationship Id="rId3" Type="http://schemas.openxmlformats.org/officeDocument/2006/relationships/image" Target="../media/image7.png"/><Relationship Id="rId4" Type="http://schemas.openxmlformats.org/officeDocument/2006/relationships/image" Target="../media/image8.svg"/><Relationship Id="rId5" Type="http://schemas.openxmlformats.org/officeDocument/2006/relationships/image" Target="../media/image9.png"/><Relationship Id="rId6" Type="http://schemas.openxmlformats.org/officeDocument/2006/relationships/image" Target="../media/image10.sv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25</xdr:col>
      <xdr:colOff>151920</xdr:colOff>
      <xdr:row>66</xdr:row>
      <xdr:rowOff>190080</xdr:rowOff>
    </xdr:to>
    <xdr:pic>
      <xdr:nvPicPr>
        <xdr:cNvPr id="0" name="Graphic 2" descr=""/>
        <xdr:cNvPicPr/>
      </xdr:nvPicPr>
      <xdr:blipFill>
        <a:blip r:embed="rId1">
          <a:extLst>
            <a:ext uri="{96DAC541-7B7A-43D3-8B79-37D633B846F1}">
              <asvg:svgBlip xmlns:asvg="http://schemas.microsoft.com/office/drawing/2016/SVG/main" r:embed="rId2"/>
            </a:ext>
          </a:extLst>
        </a:blip>
        <a:stretch/>
      </xdr:blipFill>
      <xdr:spPr>
        <a:xfrm>
          <a:off x="0" y="4191120"/>
          <a:ext cx="18257040" cy="85719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0</xdr:row>
      <xdr:rowOff>0</xdr:rowOff>
    </xdr:from>
    <xdr:to>
      <xdr:col>15</xdr:col>
      <xdr:colOff>93240</xdr:colOff>
      <xdr:row>20</xdr:row>
      <xdr:rowOff>190080</xdr:rowOff>
    </xdr:to>
    <xdr:pic>
      <xdr:nvPicPr>
        <xdr:cNvPr id="1" name="Picture 1" descr=""/>
        <xdr:cNvPicPr/>
      </xdr:nvPicPr>
      <xdr:blipFill>
        <a:blip r:embed="rId1"/>
        <a:stretch/>
      </xdr:blipFill>
      <xdr:spPr>
        <a:xfrm>
          <a:off x="2750760" y="0"/>
          <a:ext cx="7657920" cy="3999960"/>
        </a:xfrm>
        <a:prstGeom prst="rect">
          <a:avLst/>
        </a:prstGeom>
        <a:ln w="0">
          <a:noFill/>
        </a:ln>
      </xdr:spPr>
    </xdr:pic>
    <xdr:clientData/>
  </xdr:twoCellAnchor>
  <xdr:twoCellAnchor editAs="oneCell">
    <xdr:from>
      <xdr:col>15</xdr:col>
      <xdr:colOff>133200</xdr:colOff>
      <xdr:row>0</xdr:row>
      <xdr:rowOff>66600</xdr:rowOff>
    </xdr:from>
    <xdr:to>
      <xdr:col>22</xdr:col>
      <xdr:colOff>578520</xdr:colOff>
      <xdr:row>21</xdr:row>
      <xdr:rowOff>28080</xdr:rowOff>
    </xdr:to>
    <xdr:pic>
      <xdr:nvPicPr>
        <xdr:cNvPr id="2" name="Picture 2" descr=""/>
        <xdr:cNvPicPr/>
      </xdr:nvPicPr>
      <xdr:blipFill>
        <a:blip r:embed="rId2"/>
        <a:stretch/>
      </xdr:blipFill>
      <xdr:spPr>
        <a:xfrm>
          <a:off x="10448640" y="66600"/>
          <a:ext cx="5259240" cy="396216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19</xdr:col>
      <xdr:colOff>243360</xdr:colOff>
      <xdr:row>36</xdr:row>
      <xdr:rowOff>68400</xdr:rowOff>
    </xdr:to>
    <xdr:pic>
      <xdr:nvPicPr>
        <xdr:cNvPr id="3" name="Graphic 1" descr=""/>
        <xdr:cNvPicPr/>
      </xdr:nvPicPr>
      <xdr:blipFill>
        <a:blip r:embed="rId1">
          <a:extLst>
            <a:ext uri="{96DAC541-7B7A-43D3-8B79-37D633B846F1}">
              <asvg:svgBlip xmlns:asvg="http://schemas.microsoft.com/office/drawing/2016/SVG/main" r:embed="rId2"/>
            </a:ext>
          </a:extLst>
        </a:blip>
        <a:stretch/>
      </xdr:blipFill>
      <xdr:spPr>
        <a:xfrm>
          <a:off x="0" y="0"/>
          <a:ext cx="13309920" cy="6926400"/>
        </a:xfrm>
        <a:prstGeom prst="rect">
          <a:avLst/>
        </a:prstGeom>
        <a:ln w="0">
          <a:noFill/>
        </a:ln>
      </xdr:spPr>
    </xdr:pic>
    <xdr:clientData/>
  </xdr:twoCellAnchor>
  <xdr:twoCellAnchor editAs="oneCell">
    <xdr:from>
      <xdr:col>0</xdr:col>
      <xdr:colOff>0</xdr:colOff>
      <xdr:row>73</xdr:row>
      <xdr:rowOff>182880</xdr:rowOff>
    </xdr:from>
    <xdr:to>
      <xdr:col>19</xdr:col>
      <xdr:colOff>213120</xdr:colOff>
      <xdr:row>110</xdr:row>
      <xdr:rowOff>51120</xdr:rowOff>
    </xdr:to>
    <xdr:pic>
      <xdr:nvPicPr>
        <xdr:cNvPr id="4" name="Graphic 3" descr=""/>
        <xdr:cNvPicPr/>
      </xdr:nvPicPr>
      <xdr:blipFill>
        <a:blip r:embed="rId3">
          <a:extLst>
            <a:ext uri="{96DAC541-7B7A-43D3-8B79-37D633B846F1}">
              <asvg:svgBlip xmlns:asvg="http://schemas.microsoft.com/office/drawing/2016/SVG/main" r:embed="rId4"/>
            </a:ext>
          </a:extLst>
        </a:blip>
        <a:stretch/>
      </xdr:blipFill>
      <xdr:spPr>
        <a:xfrm>
          <a:off x="0" y="14089320"/>
          <a:ext cx="13279680" cy="6916680"/>
        </a:xfrm>
        <a:prstGeom prst="rect">
          <a:avLst/>
        </a:prstGeom>
        <a:ln w="0">
          <a:noFill/>
        </a:ln>
      </xdr:spPr>
    </xdr:pic>
    <xdr:clientData/>
  </xdr:twoCellAnchor>
  <xdr:twoCellAnchor editAs="oneCell">
    <xdr:from>
      <xdr:col>0</xdr:col>
      <xdr:colOff>28440</xdr:colOff>
      <xdr:row>36</xdr:row>
      <xdr:rowOff>162000</xdr:rowOff>
    </xdr:from>
    <xdr:to>
      <xdr:col>19</xdr:col>
      <xdr:colOff>219960</xdr:colOff>
      <xdr:row>73</xdr:row>
      <xdr:rowOff>720</xdr:rowOff>
    </xdr:to>
    <xdr:pic>
      <xdr:nvPicPr>
        <xdr:cNvPr id="5" name="Graphic 4" descr=""/>
        <xdr:cNvPicPr/>
      </xdr:nvPicPr>
      <xdr:blipFill>
        <a:blip r:embed="rId5">
          <a:extLst>
            <a:ext uri="{96DAC541-7B7A-43D3-8B79-37D633B846F1}">
              <asvg:svgBlip xmlns:asvg="http://schemas.microsoft.com/office/drawing/2016/SVG/main" r:embed="rId6"/>
            </a:ext>
          </a:extLst>
        </a:blip>
        <a:stretch/>
      </xdr:blipFill>
      <xdr:spPr>
        <a:xfrm>
          <a:off x="28440" y="7020000"/>
          <a:ext cx="13258080" cy="6887160"/>
        </a:xfrm>
        <a:prstGeom prst="rect">
          <a:avLst/>
        </a:prstGeom>
        <a:ln w="0">
          <a:noFill/>
        </a:ln>
      </xdr:spPr>
    </xdr:pic>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Design%20Input%20File_Instructor_V25-0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Variable Reference"/>
      <sheetName val="Main_Input"/>
      <sheetName val="Airfoil_Data"/>
      <sheetName val="Component_Data"/>
      <sheetName val="Materials"/>
      <sheetName val="Benchmark_Truth"/>
      <sheetName val="Geometry Reference"/>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1"/>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B15" activeCellId="0" sqref="B15"/>
    </sheetView>
  </sheetViews>
  <sheetFormatPr defaultColWidth="8.59765625" defaultRowHeight="15" zeroHeight="false" outlineLevelRow="0" outlineLevelCol="0"/>
  <cols>
    <col collapsed="false" customWidth="true" hidden="false" outlineLevel="0" max="1" min="1" style="0" width="16.57"/>
    <col collapsed="false" customWidth="true" hidden="false" outlineLevel="0" max="2" min="2" style="0" width="13.86"/>
    <col collapsed="false" customWidth="true" hidden="false" outlineLevel="0" max="3" min="3" style="1" width="11.28"/>
    <col collapsed="false" customWidth="true" hidden="false" outlineLevel="0" max="4" min="4" style="2" width="108.86"/>
    <col collapsed="false" customWidth="true" hidden="false" outlineLevel="0" max="5" min="5" style="0" width="24.29"/>
  </cols>
  <sheetData>
    <row r="1" customFormat="false" ht="16.4" hidden="false" customHeight="false" outlineLevel="0" collapsed="false">
      <c r="A1" s="3" t="s">
        <v>0</v>
      </c>
      <c r="B1" s="4" t="s">
        <v>1</v>
      </c>
      <c r="C1" s="4" t="s">
        <v>2</v>
      </c>
      <c r="D1" s="5" t="s">
        <v>3</v>
      </c>
    </row>
    <row r="2" customFormat="false" ht="16.4" hidden="false" customHeight="false" outlineLevel="0" collapsed="false">
      <c r="A2" s="6" t="s">
        <v>4</v>
      </c>
      <c r="B2" s="6" t="str">
        <f aca="false" t="array" ref="B2:B45">TRANSPOSE(Main_Input!A1:AR1)</f>
        <v>Config</v>
      </c>
      <c r="C2" s="7" t="s">
        <v>5</v>
      </c>
      <c r="D2" s="8" t="s">
        <v>6</v>
      </c>
    </row>
    <row r="3" customFormat="false" ht="16.4" hidden="false" customHeight="false" outlineLevel="0" collapsed="false">
      <c r="A3" s="6" t="s">
        <v>4</v>
      </c>
      <c r="B3" s="6" t="str">
        <v>altitude_o</v>
      </c>
      <c r="C3" s="7" t="s">
        <v>7</v>
      </c>
      <c r="D3" s="8" t="s">
        <v>8</v>
      </c>
    </row>
    <row r="4" customFormat="false" ht="31.3" hidden="false" customHeight="false" outlineLevel="0" collapsed="false">
      <c r="A4" s="6" t="s">
        <v>4</v>
      </c>
      <c r="B4" s="6" t="str">
        <v>V_o</v>
      </c>
      <c r="C4" s="7" t="s">
        <v>9</v>
      </c>
      <c r="D4" s="8" t="s">
        <v>10</v>
      </c>
    </row>
    <row r="5" customFormat="false" ht="16.4" hidden="false" customHeight="false" outlineLevel="0" collapsed="false">
      <c r="A5" s="6" t="s">
        <v>4</v>
      </c>
      <c r="B5" s="6" t="str">
        <v>Length_f</v>
      </c>
      <c r="C5" s="7" t="s">
        <v>7</v>
      </c>
      <c r="D5" s="8" t="s">
        <v>11</v>
      </c>
    </row>
    <row r="6" customFormat="false" ht="16.4" hidden="false" customHeight="false" outlineLevel="0" collapsed="false">
      <c r="A6" s="6" t="s">
        <v>4</v>
      </c>
      <c r="B6" s="6" t="str">
        <v>Dia_f</v>
      </c>
      <c r="C6" s="7" t="s">
        <v>7</v>
      </c>
      <c r="D6" s="8" t="s">
        <v>12</v>
      </c>
    </row>
    <row r="7" customFormat="false" ht="16.4" hidden="false" customHeight="false" outlineLevel="0" collapsed="false">
      <c r="A7" s="6" t="s">
        <v>4</v>
      </c>
      <c r="B7" s="6" t="str">
        <v>Fine_f</v>
      </c>
      <c r="C7" s="7" t="s">
        <v>5</v>
      </c>
      <c r="D7" s="8" t="s">
        <v>13</v>
      </c>
    </row>
    <row r="8" customFormat="false" ht="16.4" hidden="false" customHeight="false" outlineLevel="0" collapsed="false">
      <c r="A8" s="6" t="s">
        <v>4</v>
      </c>
      <c r="B8" s="6" t="str">
        <v>Thick_f</v>
      </c>
      <c r="C8" s="7" t="s">
        <v>7</v>
      </c>
      <c r="D8" s="8" t="s">
        <v>14</v>
      </c>
    </row>
    <row r="9" customFormat="false" ht="16.4" hidden="false" customHeight="false" outlineLevel="0" collapsed="false">
      <c r="A9" s="6" t="s">
        <v>4</v>
      </c>
      <c r="B9" s="6" t="str">
        <v>Amax_f</v>
      </c>
      <c r="C9" s="7" t="s">
        <v>15</v>
      </c>
      <c r="D9" s="8" t="s">
        <v>16</v>
      </c>
    </row>
    <row r="10" customFormat="false" ht="31.3" hidden="false" customHeight="false" outlineLevel="0" collapsed="false">
      <c r="A10" s="6" t="s">
        <v>4</v>
      </c>
      <c r="B10" s="6" t="str">
        <v>Abase_f</v>
      </c>
      <c r="C10" s="7" t="s">
        <v>15</v>
      </c>
      <c r="D10" s="8" t="s">
        <v>17</v>
      </c>
    </row>
    <row r="11" customFormat="false" ht="16.4" hidden="false" customHeight="false" outlineLevel="0" collapsed="false">
      <c r="A11" s="6" t="s">
        <v>4</v>
      </c>
      <c r="B11" s="6" t="str">
        <v>Swet_f</v>
      </c>
      <c r="C11" s="7" t="s">
        <v>15</v>
      </c>
      <c r="D11" s="8" t="s">
        <v>18</v>
      </c>
    </row>
    <row r="12" customFormat="false" ht="31.3" hidden="false" customHeight="false" outlineLevel="0" collapsed="false">
      <c r="A12" s="6" t="s">
        <v>4</v>
      </c>
      <c r="B12" s="6" t="str">
        <v>Q_f</v>
      </c>
      <c r="C12" s="7" t="s">
        <v>5</v>
      </c>
      <c r="D12" s="8" t="s">
        <v>19</v>
      </c>
    </row>
    <row r="13" customFormat="false" ht="16.4" hidden="false" customHeight="false" outlineLevel="0" collapsed="false">
      <c r="A13" s="6" t="s">
        <v>4</v>
      </c>
      <c r="B13" s="6" t="str">
        <v>Fuse_Mat</v>
      </c>
      <c r="C13" s="7" t="s">
        <v>5</v>
      </c>
      <c r="D13" s="8" t="s">
        <v>20</v>
      </c>
    </row>
    <row r="14" customFormat="false" ht="31.3" hidden="false" customHeight="false" outlineLevel="0" collapsed="false">
      <c r="A14" s="6" t="s">
        <v>4</v>
      </c>
      <c r="B14" s="6" t="str">
        <v>Sref_w</v>
      </c>
      <c r="C14" s="7" t="s">
        <v>15</v>
      </c>
      <c r="D14" s="8" t="s">
        <v>21</v>
      </c>
    </row>
    <row r="15" customFormat="false" ht="31.3" hidden="false" customHeight="false" outlineLevel="0" collapsed="false">
      <c r="A15" s="6" t="s">
        <v>4</v>
      </c>
      <c r="B15" s="6" t="str">
        <v>Swet_w</v>
      </c>
      <c r="C15" s="7" t="s">
        <v>15</v>
      </c>
      <c r="D15" s="8" t="s">
        <v>22</v>
      </c>
    </row>
    <row r="16" customFormat="false" ht="16.4" hidden="false" customHeight="false" outlineLevel="0" collapsed="false">
      <c r="A16" s="6" t="s">
        <v>4</v>
      </c>
      <c r="B16" s="6" t="str">
        <v>AR_w</v>
      </c>
      <c r="C16" s="7" t="s">
        <v>5</v>
      </c>
      <c r="D16" s="8" t="s">
        <v>23</v>
      </c>
    </row>
    <row r="17" customFormat="false" ht="16.4" hidden="false" customHeight="false" outlineLevel="0" collapsed="false">
      <c r="A17" s="6" t="s">
        <v>4</v>
      </c>
      <c r="B17" s="6" t="str">
        <v>Taper_w</v>
      </c>
      <c r="C17" s="7" t="s">
        <v>5</v>
      </c>
      <c r="D17" s="8" t="s">
        <v>24</v>
      </c>
    </row>
    <row r="18" customFormat="false" ht="16.4" hidden="false" customHeight="false" outlineLevel="0" collapsed="false">
      <c r="A18" s="6" t="s">
        <v>4</v>
      </c>
      <c r="B18" s="6" t="str">
        <v>Sweep_w</v>
      </c>
      <c r="C18" s="7" t="s">
        <v>25</v>
      </c>
      <c r="D18" s="8" t="s">
        <v>26</v>
      </c>
    </row>
    <row r="19" customFormat="false" ht="16.4" hidden="false" customHeight="false" outlineLevel="0" collapsed="false">
      <c r="A19" s="6" t="s">
        <v>4</v>
      </c>
      <c r="B19" s="6" t="str">
        <v>QuarterSweep_w</v>
      </c>
      <c r="C19" s="7" t="s">
        <v>25</v>
      </c>
      <c r="D19" s="8" t="s">
        <v>27</v>
      </c>
    </row>
    <row r="20" customFormat="false" ht="46.25" hidden="false" customHeight="false" outlineLevel="0" collapsed="false">
      <c r="A20" s="6" t="s">
        <v>4</v>
      </c>
      <c r="B20" s="6" t="str">
        <v>Q_w</v>
      </c>
      <c r="C20" s="7" t="s">
        <v>5</v>
      </c>
      <c r="D20" s="8" t="s">
        <v>28</v>
      </c>
    </row>
    <row r="21" customFormat="false" ht="16.4" hidden="false" customHeight="false" outlineLevel="0" collapsed="false">
      <c r="A21" s="6" t="s">
        <v>4</v>
      </c>
      <c r="B21" s="6" t="str">
        <v>Wing_Mat</v>
      </c>
      <c r="C21" s="7" t="s">
        <v>5</v>
      </c>
      <c r="D21" s="8" t="s">
        <v>29</v>
      </c>
    </row>
    <row r="22" customFormat="false" ht="28.5" hidden="false" customHeight="true" outlineLevel="0" collapsed="false">
      <c r="A22" s="6" t="s">
        <v>4</v>
      </c>
      <c r="B22" s="6" t="str">
        <v>Sref-h1</v>
      </c>
      <c r="C22" s="7" t="s">
        <v>15</v>
      </c>
      <c r="D22" s="8" t="s">
        <v>30</v>
      </c>
    </row>
    <row r="23" customFormat="false" ht="31.3" hidden="false" customHeight="false" outlineLevel="0" collapsed="false">
      <c r="A23" s="6" t="s">
        <v>4</v>
      </c>
      <c r="B23" s="6" t="str">
        <v>Swet_h1</v>
      </c>
      <c r="C23" s="7" t="s">
        <v>15</v>
      </c>
      <c r="D23" s="8" t="s">
        <v>31</v>
      </c>
    </row>
    <row r="24" customFormat="false" ht="16.4" hidden="false" customHeight="false" outlineLevel="0" collapsed="false">
      <c r="A24" s="6" t="s">
        <v>4</v>
      </c>
      <c r="B24" s="6" t="str">
        <v>AR_h1</v>
      </c>
      <c r="C24" s="7" t="s">
        <v>5</v>
      </c>
      <c r="D24" s="8" t="s">
        <v>32</v>
      </c>
    </row>
    <row r="25" customFormat="false" ht="31.3" hidden="false" customHeight="false" outlineLevel="0" collapsed="false">
      <c r="A25" s="6" t="s">
        <v>4</v>
      </c>
      <c r="B25" s="6" t="str">
        <v>Taper_h1</v>
      </c>
      <c r="C25" s="7" t="s">
        <v>5</v>
      </c>
      <c r="D25" s="8" t="s">
        <v>33</v>
      </c>
    </row>
    <row r="26" customFormat="false" ht="16.4" hidden="false" customHeight="false" outlineLevel="0" collapsed="false">
      <c r="A26" s="6" t="s">
        <v>4</v>
      </c>
      <c r="B26" s="6" t="str">
        <v>Sweep_h1</v>
      </c>
      <c r="C26" s="7" t="s">
        <v>25</v>
      </c>
      <c r="D26" s="8" t="s">
        <v>34</v>
      </c>
    </row>
    <row r="27" customFormat="false" ht="31.3" hidden="false" customHeight="false" outlineLevel="0" collapsed="false">
      <c r="A27" s="6" t="s">
        <v>4</v>
      </c>
      <c r="B27" s="6" t="str">
        <v>MAC_h1</v>
      </c>
      <c r="C27" s="7" t="s">
        <v>7</v>
      </c>
      <c r="D27" s="8" t="s">
        <v>35</v>
      </c>
    </row>
    <row r="28" customFormat="false" ht="46.25" hidden="false" customHeight="false" outlineLevel="0" collapsed="false">
      <c r="A28" s="6" t="s">
        <v>4</v>
      </c>
      <c r="B28" s="6" t="str">
        <v>Q_h1</v>
      </c>
      <c r="C28" s="7" t="s">
        <v>5</v>
      </c>
      <c r="D28" s="8" t="s">
        <v>36</v>
      </c>
    </row>
    <row r="29" customFormat="false" ht="16.4" hidden="false" customHeight="false" outlineLevel="0" collapsed="false">
      <c r="A29" s="6" t="s">
        <v>4</v>
      </c>
      <c r="B29" s="6" t="str">
        <v>h1_Mat</v>
      </c>
      <c r="C29" s="1" t="s">
        <v>5</v>
      </c>
      <c r="D29" s="8" t="s">
        <v>37</v>
      </c>
    </row>
    <row r="30" customFormat="false" ht="16.4" hidden="false" customHeight="false" outlineLevel="0" collapsed="false">
      <c r="A30" s="6" t="s">
        <v>4</v>
      </c>
      <c r="B30" s="6" t="str">
        <v>Sref-v1</v>
      </c>
      <c r="C30" s="7" t="s">
        <v>15</v>
      </c>
      <c r="D30" s="8" t="s">
        <v>38</v>
      </c>
    </row>
    <row r="31" customFormat="false" ht="31.3" hidden="false" customHeight="false" outlineLevel="0" collapsed="false">
      <c r="A31" s="6" t="s">
        <v>4</v>
      </c>
      <c r="B31" s="6" t="str">
        <v>Swet_v1</v>
      </c>
      <c r="C31" s="7" t="s">
        <v>15</v>
      </c>
      <c r="D31" s="8" t="s">
        <v>39</v>
      </c>
    </row>
    <row r="32" customFormat="false" ht="16.4" hidden="false" customHeight="false" outlineLevel="0" collapsed="false">
      <c r="A32" s="6" t="s">
        <v>4</v>
      </c>
      <c r="B32" s="6" t="str">
        <v>AR_v1</v>
      </c>
      <c r="C32" s="7" t="s">
        <v>5</v>
      </c>
      <c r="D32" s="8" t="s">
        <v>40</v>
      </c>
    </row>
    <row r="33" customFormat="false" ht="31.3" hidden="false" customHeight="false" outlineLevel="0" collapsed="false">
      <c r="A33" s="6" t="s">
        <v>4</v>
      </c>
      <c r="B33" s="6" t="str">
        <v>Taper_v1</v>
      </c>
      <c r="C33" s="7" t="s">
        <v>5</v>
      </c>
      <c r="D33" s="8" t="s">
        <v>41</v>
      </c>
    </row>
    <row r="34" customFormat="false" ht="16.4" hidden="false" customHeight="false" outlineLevel="0" collapsed="false">
      <c r="A34" s="6" t="s">
        <v>4</v>
      </c>
      <c r="B34" s="6" t="str">
        <v>Sweep_v1</v>
      </c>
      <c r="C34" s="7" t="s">
        <v>25</v>
      </c>
      <c r="D34" s="8" t="s">
        <v>42</v>
      </c>
    </row>
    <row r="35" customFormat="false" ht="31.3" hidden="false" customHeight="false" outlineLevel="0" collapsed="false">
      <c r="A35" s="6" t="s">
        <v>4</v>
      </c>
      <c r="B35" s="6" t="str">
        <v>MAC_v1</v>
      </c>
      <c r="C35" s="7" t="s">
        <v>7</v>
      </c>
      <c r="D35" s="8" t="s">
        <v>43</v>
      </c>
    </row>
    <row r="36" customFormat="false" ht="46.25" hidden="false" customHeight="false" outlineLevel="0" collapsed="false">
      <c r="A36" s="6" t="s">
        <v>4</v>
      </c>
      <c r="B36" s="6" t="str">
        <v>Q_v1</v>
      </c>
      <c r="C36" s="7" t="s">
        <v>5</v>
      </c>
      <c r="D36" s="8" t="s">
        <v>44</v>
      </c>
    </row>
    <row r="37" customFormat="false" ht="16.4" hidden="false" customHeight="false" outlineLevel="0" collapsed="false">
      <c r="A37" s="6" t="s">
        <v>4</v>
      </c>
      <c r="B37" s="6" t="str">
        <v>v1_Mat</v>
      </c>
      <c r="C37" s="1" t="s">
        <v>5</v>
      </c>
      <c r="D37" s="8" t="s">
        <v>45</v>
      </c>
    </row>
    <row r="38" customFormat="false" ht="16.4" hidden="false" customHeight="false" outlineLevel="0" collapsed="false">
      <c r="A38" s="6" t="s">
        <v>4</v>
      </c>
      <c r="B38" s="6" t="str">
        <v>Sref-v2</v>
      </c>
      <c r="C38" s="7" t="s">
        <v>15</v>
      </c>
      <c r="D38" s="8" t="s">
        <v>46</v>
      </c>
    </row>
    <row r="39" customFormat="false" ht="31.3" hidden="false" customHeight="false" outlineLevel="0" collapsed="false">
      <c r="A39" s="6" t="s">
        <v>4</v>
      </c>
      <c r="B39" s="6" t="str">
        <v>Swet_v2</v>
      </c>
      <c r="C39" s="7" t="s">
        <v>15</v>
      </c>
      <c r="D39" s="8" t="s">
        <v>47</v>
      </c>
    </row>
    <row r="40" customFormat="false" ht="16.4" hidden="false" customHeight="false" outlineLevel="0" collapsed="false">
      <c r="A40" s="6" t="s">
        <v>4</v>
      </c>
      <c r="B40" s="6" t="str">
        <v>AR_v2</v>
      </c>
      <c r="C40" s="7" t="s">
        <v>5</v>
      </c>
      <c r="D40" s="8" t="s">
        <v>48</v>
      </c>
    </row>
    <row r="41" customFormat="false" ht="31.3" hidden="false" customHeight="false" outlineLevel="0" collapsed="false">
      <c r="A41" s="6" t="s">
        <v>4</v>
      </c>
      <c r="B41" s="6" t="str">
        <v>Taper_v2</v>
      </c>
      <c r="C41" s="7" t="s">
        <v>5</v>
      </c>
      <c r="D41" s="8" t="s">
        <v>49</v>
      </c>
    </row>
    <row r="42" customFormat="false" ht="16.4" hidden="false" customHeight="false" outlineLevel="0" collapsed="false">
      <c r="A42" s="6" t="s">
        <v>4</v>
      </c>
      <c r="B42" s="6" t="str">
        <v>Sweep_v2</v>
      </c>
      <c r="C42" s="7" t="s">
        <v>25</v>
      </c>
      <c r="D42" s="8" t="s">
        <v>50</v>
      </c>
    </row>
    <row r="43" customFormat="false" ht="31.3" hidden="false" customHeight="false" outlineLevel="0" collapsed="false">
      <c r="A43" s="6" t="s">
        <v>4</v>
      </c>
      <c r="B43" s="6" t="str">
        <v>MAC_v2</v>
      </c>
      <c r="C43" s="7" t="s">
        <v>7</v>
      </c>
      <c r="D43" s="8" t="s">
        <v>51</v>
      </c>
    </row>
    <row r="44" customFormat="false" ht="46.25" hidden="false" customHeight="false" outlineLevel="0" collapsed="false">
      <c r="A44" s="6" t="s">
        <v>4</v>
      </c>
      <c r="B44" s="6" t="str">
        <v>Q_v2</v>
      </c>
      <c r="C44" s="7" t="s">
        <v>5</v>
      </c>
      <c r="D44" s="8" t="s">
        <v>52</v>
      </c>
    </row>
    <row r="45" customFormat="false" ht="16.4" hidden="false" customHeight="false" outlineLevel="0" collapsed="false">
      <c r="A45" s="6" t="s">
        <v>4</v>
      </c>
      <c r="B45" s="6" t="str">
        <v>v2_Mat</v>
      </c>
      <c r="C45" s="1" t="s">
        <v>5</v>
      </c>
      <c r="D45" s="8" t="s">
        <v>53</v>
      </c>
    </row>
    <row r="46" customFormat="false" ht="16.4" hidden="false" customHeight="false" outlineLevel="0" collapsed="false">
      <c r="A46" s="6" t="s">
        <v>54</v>
      </c>
      <c r="B46" s="6" t="s">
        <v>55</v>
      </c>
      <c r="C46" s="7" t="s">
        <v>5</v>
      </c>
      <c r="D46" s="8" t="s">
        <v>56</v>
      </c>
    </row>
    <row r="47" customFormat="false" ht="16.4" hidden="false" customHeight="false" outlineLevel="0" collapsed="false">
      <c r="A47" s="6" t="s">
        <v>54</v>
      </c>
      <c r="B47" s="6" t="s">
        <v>57</v>
      </c>
      <c r="C47" s="7" t="s">
        <v>5</v>
      </c>
      <c r="D47" s="8" t="s">
        <v>58</v>
      </c>
    </row>
    <row r="48" customFormat="false" ht="16.4" hidden="false" customHeight="false" outlineLevel="0" collapsed="false">
      <c r="A48" s="6" t="s">
        <v>54</v>
      </c>
      <c r="B48" s="6" t="s">
        <v>59</v>
      </c>
      <c r="C48" s="7" t="s">
        <v>5</v>
      </c>
      <c r="D48" s="8" t="s">
        <v>60</v>
      </c>
    </row>
    <row r="49" customFormat="false" ht="16.4" hidden="false" customHeight="false" outlineLevel="0" collapsed="false">
      <c r="A49" s="6" t="s">
        <v>54</v>
      </c>
      <c r="B49" s="6" t="s">
        <v>61</v>
      </c>
      <c r="C49" s="7" t="s">
        <v>5</v>
      </c>
      <c r="D49" s="8" t="s">
        <v>62</v>
      </c>
    </row>
    <row r="50" customFormat="false" ht="16.4" hidden="false" customHeight="false" outlineLevel="0" collapsed="false">
      <c r="A50" s="6" t="s">
        <v>54</v>
      </c>
      <c r="B50" s="6" t="s">
        <v>63</v>
      </c>
      <c r="C50" s="7" t="s">
        <v>5</v>
      </c>
      <c r="D50" s="8" t="s">
        <v>64</v>
      </c>
    </row>
    <row r="51" customFormat="false" ht="16.4" hidden="false" customHeight="false" outlineLevel="0" collapsed="false">
      <c r="A51" s="6" t="s">
        <v>54</v>
      </c>
      <c r="B51" s="6" t="s">
        <v>65</v>
      </c>
      <c r="C51" s="7" t="s">
        <v>5</v>
      </c>
      <c r="D51" s="8" t="s">
        <v>66</v>
      </c>
    </row>
    <row r="52" customFormat="false" ht="16.4" hidden="false" customHeight="false" outlineLevel="0" collapsed="false">
      <c r="A52" s="6" t="s">
        <v>54</v>
      </c>
      <c r="B52" s="6" t="s">
        <v>67</v>
      </c>
      <c r="C52" s="7" t="s">
        <v>5</v>
      </c>
      <c r="D52" s="8" t="s">
        <v>68</v>
      </c>
    </row>
    <row r="53" customFormat="false" ht="16.4" hidden="false" customHeight="false" outlineLevel="0" collapsed="false">
      <c r="A53" s="6" t="s">
        <v>54</v>
      </c>
      <c r="B53" s="6" t="s">
        <v>69</v>
      </c>
      <c r="C53" s="7" t="s">
        <v>5</v>
      </c>
      <c r="D53" s="8" t="s">
        <v>70</v>
      </c>
    </row>
    <row r="54" customFormat="false" ht="16.4" hidden="false" customHeight="false" outlineLevel="0" collapsed="false">
      <c r="A54" s="6" t="s">
        <v>54</v>
      </c>
      <c r="B54" s="6" t="s">
        <v>71</v>
      </c>
      <c r="C54" s="7" t="s">
        <v>5</v>
      </c>
      <c r="D54" s="8" t="s">
        <v>72</v>
      </c>
    </row>
    <row r="55" customFormat="false" ht="16.4" hidden="false" customHeight="false" outlineLevel="0" collapsed="false">
      <c r="A55" s="6" t="s">
        <v>54</v>
      </c>
      <c r="B55" s="6" t="s">
        <v>73</v>
      </c>
      <c r="C55" s="7" t="s">
        <v>5</v>
      </c>
      <c r="D55" s="8" t="s">
        <v>74</v>
      </c>
    </row>
    <row r="56" customFormat="false" ht="16.4" hidden="false" customHeight="false" outlineLevel="0" collapsed="false">
      <c r="A56" s="6" t="s">
        <v>54</v>
      </c>
      <c r="B56" s="6" t="s">
        <v>75</v>
      </c>
      <c r="C56" s="7" t="s">
        <v>5</v>
      </c>
      <c r="D56" s="8" t="s">
        <v>76</v>
      </c>
    </row>
    <row r="57" customFormat="false" ht="16.4" hidden="false" customHeight="false" outlineLevel="0" collapsed="false">
      <c r="A57" s="6" t="s">
        <v>54</v>
      </c>
      <c r="B57" s="6" t="s">
        <v>77</v>
      </c>
      <c r="C57" s="7" t="s">
        <v>5</v>
      </c>
      <c r="D57" s="8" t="s">
        <v>78</v>
      </c>
    </row>
    <row r="58" customFormat="false" ht="16.4" hidden="false" customHeight="false" outlineLevel="0" collapsed="false">
      <c r="A58" s="6" t="s">
        <v>54</v>
      </c>
      <c r="B58" s="6" t="s">
        <v>79</v>
      </c>
      <c r="C58" s="7" t="s">
        <v>5</v>
      </c>
      <c r="D58" s="8" t="s">
        <v>80</v>
      </c>
    </row>
    <row r="59" customFormat="false" ht="16.4" hidden="false" customHeight="false" outlineLevel="0" collapsed="false">
      <c r="A59" s="6" t="s">
        <v>54</v>
      </c>
      <c r="B59" s="6" t="s">
        <v>81</v>
      </c>
      <c r="C59" s="7" t="s">
        <v>5</v>
      </c>
      <c r="D59" s="8" t="s">
        <v>82</v>
      </c>
    </row>
    <row r="60" customFormat="false" ht="16.4" hidden="false" customHeight="false" outlineLevel="0" collapsed="false">
      <c r="A60" s="6" t="s">
        <v>54</v>
      </c>
      <c r="B60" s="6" t="s">
        <v>83</v>
      </c>
      <c r="C60" s="7" t="s">
        <v>5</v>
      </c>
      <c r="D60" s="8" t="s">
        <v>84</v>
      </c>
    </row>
    <row r="61" customFormat="false" ht="16.5" hidden="false" customHeight="true" outlineLevel="0" collapsed="false">
      <c r="A61" s="6" t="s">
        <v>85</v>
      </c>
      <c r="B61" s="6" t="str">
        <f aca="false" t="array" ref="B61:B81">TRANSPOSE(Component_Data!A1:U1)</f>
        <v>Config</v>
      </c>
      <c r="C61" s="1" t="s">
        <v>5</v>
      </c>
      <c r="D61" s="8" t="s">
        <v>6</v>
      </c>
    </row>
    <row r="62" customFormat="false" ht="16.4" hidden="false" customHeight="false" outlineLevel="0" collapsed="false">
      <c r="A62" s="6" t="s">
        <v>85</v>
      </c>
      <c r="B62" s="6" t="str">
        <v>m_nose</v>
      </c>
      <c r="C62" s="7" t="s">
        <v>86</v>
      </c>
      <c r="D62" s="8" t="s">
        <v>87</v>
      </c>
    </row>
    <row r="63" customFormat="false" ht="16.4" hidden="false" customHeight="false" outlineLevel="0" collapsed="false">
      <c r="A63" s="6" t="s">
        <v>85</v>
      </c>
      <c r="B63" s="6" t="str">
        <v>Xcg_nose</v>
      </c>
      <c r="C63" s="7" t="s">
        <v>7</v>
      </c>
      <c r="D63" s="8" t="s">
        <v>88</v>
      </c>
    </row>
    <row r="64" customFormat="false" ht="16.4" hidden="false" customHeight="false" outlineLevel="0" collapsed="false">
      <c r="A64" s="6" t="s">
        <v>85</v>
      </c>
      <c r="B64" s="6" t="str">
        <v>m_fuse</v>
      </c>
      <c r="C64" s="7" t="s">
        <v>86</v>
      </c>
      <c r="D64" s="8" t="s">
        <v>89</v>
      </c>
    </row>
    <row r="65" customFormat="false" ht="16.4" hidden="false" customHeight="false" outlineLevel="0" collapsed="false">
      <c r="A65" s="6" t="s">
        <v>85</v>
      </c>
      <c r="B65" s="6" t="str">
        <v>Xcg_fuse</v>
      </c>
      <c r="C65" s="7" t="s">
        <v>7</v>
      </c>
      <c r="D65" s="8" t="s">
        <v>90</v>
      </c>
    </row>
    <row r="66" customFormat="false" ht="16.4" hidden="false" customHeight="false" outlineLevel="0" collapsed="false">
      <c r="A66" s="6" t="s">
        <v>85</v>
      </c>
      <c r="B66" s="6" t="str">
        <v>m_wing</v>
      </c>
      <c r="C66" s="7" t="s">
        <v>86</v>
      </c>
      <c r="D66" s="8" t="s">
        <v>91</v>
      </c>
    </row>
    <row r="67" customFormat="false" ht="16.4" hidden="false" customHeight="false" outlineLevel="0" collapsed="false">
      <c r="A67" s="6" t="s">
        <v>85</v>
      </c>
      <c r="B67" s="6" t="str">
        <v>X_LE_wing</v>
      </c>
      <c r="C67" s="7" t="s">
        <v>7</v>
      </c>
      <c r="D67" s="8" t="s">
        <v>92</v>
      </c>
    </row>
    <row r="68" customFormat="false" ht="16.4" hidden="false" customHeight="false" outlineLevel="0" collapsed="false">
      <c r="A68" s="6" t="s">
        <v>85</v>
      </c>
      <c r="B68" s="6" t="str">
        <v>Xcg_wing</v>
      </c>
      <c r="C68" s="7" t="s">
        <v>7</v>
      </c>
      <c r="D68" s="8" t="s">
        <v>93</v>
      </c>
    </row>
    <row r="69" customFormat="false" ht="16.4" hidden="false" customHeight="false" outlineLevel="0" collapsed="false">
      <c r="A69" s="6" t="s">
        <v>85</v>
      </c>
      <c r="B69" s="6" t="str">
        <v>m_h1</v>
      </c>
      <c r="C69" s="7" t="s">
        <v>86</v>
      </c>
      <c r="D69" s="8" t="s">
        <v>94</v>
      </c>
    </row>
    <row r="70" customFormat="false" ht="31.3" hidden="false" customHeight="false" outlineLevel="0" collapsed="false">
      <c r="A70" s="6" t="s">
        <v>85</v>
      </c>
      <c r="B70" s="6" t="str">
        <v>X_LE_h1</v>
      </c>
      <c r="C70" s="7" t="s">
        <v>7</v>
      </c>
      <c r="D70" s="8" t="s">
        <v>95</v>
      </c>
    </row>
    <row r="71" customFormat="false" ht="18" hidden="false" customHeight="true" outlineLevel="0" collapsed="false">
      <c r="A71" s="6" t="s">
        <v>85</v>
      </c>
      <c r="B71" s="6" t="str">
        <v>Xcg_h1</v>
      </c>
      <c r="C71" s="7" t="s">
        <v>7</v>
      </c>
      <c r="D71" s="8" t="s">
        <v>96</v>
      </c>
    </row>
    <row r="72" customFormat="false" ht="16.4" hidden="false" customHeight="false" outlineLevel="0" collapsed="false">
      <c r="A72" s="6" t="s">
        <v>85</v>
      </c>
      <c r="B72" s="6" t="str">
        <v>m_v1</v>
      </c>
      <c r="C72" s="7" t="s">
        <v>86</v>
      </c>
      <c r="D72" s="8" t="s">
        <v>97</v>
      </c>
    </row>
    <row r="73" customFormat="false" ht="31.3" hidden="false" customHeight="false" outlineLevel="0" collapsed="false">
      <c r="A73" s="6" t="s">
        <v>85</v>
      </c>
      <c r="B73" s="6" t="str">
        <v>X_LE_v1</v>
      </c>
      <c r="C73" s="7" t="s">
        <v>7</v>
      </c>
      <c r="D73" s="8" t="s">
        <v>98</v>
      </c>
    </row>
    <row r="74" customFormat="false" ht="18.75" hidden="false" customHeight="true" outlineLevel="0" collapsed="false">
      <c r="A74" s="6" t="s">
        <v>85</v>
      </c>
      <c r="B74" s="6" t="str">
        <v>Xcg_v1</v>
      </c>
      <c r="C74" s="7" t="s">
        <v>7</v>
      </c>
      <c r="D74" s="8" t="s">
        <v>99</v>
      </c>
    </row>
    <row r="75" customFormat="false" ht="16.4" hidden="false" customHeight="false" outlineLevel="0" collapsed="false">
      <c r="A75" s="6" t="s">
        <v>85</v>
      </c>
      <c r="B75" s="6" t="str">
        <v>m_v2</v>
      </c>
      <c r="C75" s="7" t="s">
        <v>86</v>
      </c>
      <c r="D75" s="8" t="s">
        <v>100</v>
      </c>
    </row>
    <row r="76" customFormat="false" ht="31.3" hidden="false" customHeight="false" outlineLevel="0" collapsed="false">
      <c r="A76" s="6" t="s">
        <v>85</v>
      </c>
      <c r="B76" s="6" t="str">
        <v>X_LE_v2</v>
      </c>
      <c r="C76" s="7" t="s">
        <v>7</v>
      </c>
      <c r="D76" s="8" t="s">
        <v>101</v>
      </c>
    </row>
    <row r="77" customFormat="false" ht="16.5" hidden="false" customHeight="true" outlineLevel="0" collapsed="false">
      <c r="A77" s="6" t="s">
        <v>85</v>
      </c>
      <c r="B77" s="6" t="str">
        <v>Xcg_v2</v>
      </c>
      <c r="C77" s="7" t="s">
        <v>7</v>
      </c>
      <c r="D77" s="8" t="s">
        <v>102</v>
      </c>
    </row>
    <row r="78" customFormat="false" ht="16.4" hidden="false" customHeight="false" outlineLevel="0" collapsed="false">
      <c r="A78" s="6" t="s">
        <v>85</v>
      </c>
      <c r="B78" s="6" t="str">
        <v>m_pay</v>
      </c>
      <c r="C78" s="7" t="s">
        <v>86</v>
      </c>
      <c r="D78" s="8" t="s">
        <v>103</v>
      </c>
    </row>
    <row r="79" customFormat="false" ht="16.4" hidden="false" customHeight="false" outlineLevel="0" collapsed="false">
      <c r="A79" s="6" t="s">
        <v>85</v>
      </c>
      <c r="B79" s="6" t="str">
        <v>Xcg_pay</v>
      </c>
      <c r="C79" s="7" t="s">
        <v>7</v>
      </c>
      <c r="D79" s="8" t="s">
        <v>104</v>
      </c>
    </row>
    <row r="80" customFormat="false" ht="16.4" hidden="false" customHeight="false" outlineLevel="0" collapsed="false">
      <c r="A80" s="6" t="s">
        <v>85</v>
      </c>
      <c r="B80" s="6" t="str">
        <v>m_ballast</v>
      </c>
      <c r="C80" s="7" t="s">
        <v>86</v>
      </c>
      <c r="D80" s="8" t="s">
        <v>105</v>
      </c>
    </row>
    <row r="81" customFormat="false" ht="16.4" hidden="false" customHeight="false" outlineLevel="0" collapsed="false">
      <c r="A81" s="6" t="s">
        <v>85</v>
      </c>
      <c r="B81" s="6" t="str">
        <v>Xcg_ballast</v>
      </c>
      <c r="C81" s="7" t="s">
        <v>7</v>
      </c>
      <c r="D81" s="8" t="s">
        <v>106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51"/>
  <sheetViews>
    <sheetView showFormulas="false" showGridLines="true" showRowColHeaders="true" showZeros="true" rightToLeft="false" tabSelected="true" showOutlineSymbols="true" defaultGridColor="true" view="normal" topLeftCell="A1" colorId="64" zoomScale="99" zoomScaleNormal="99" zoomScalePageLayoutView="100" workbookViewId="0">
      <selection pane="topLeft" activeCell="M2" activeCellId="0" sqref="M2"/>
    </sheetView>
  </sheetViews>
  <sheetFormatPr defaultColWidth="8.859375" defaultRowHeight="15" zeroHeight="false" outlineLevelRow="0" outlineLevelCol="0"/>
  <cols>
    <col collapsed="false" customWidth="false" hidden="false" outlineLevel="0" max="1" min="1" style="7" width="8.86"/>
    <col collapsed="false" customWidth="true" hidden="false" outlineLevel="0" max="2" min="2" style="7" width="10.57"/>
    <col collapsed="false" customWidth="false" hidden="false" outlineLevel="0" max="11" min="3" style="7" width="8.86"/>
    <col collapsed="false" customWidth="true" hidden="false" outlineLevel="0" max="12" min="12" style="7" width="15.72"/>
    <col collapsed="false" customWidth="true" hidden="false" outlineLevel="0" max="13" min="13" style="7" width="6.86"/>
    <col collapsed="false" customWidth="false" hidden="false" outlineLevel="0" max="14" min="14" style="7" width="8.86"/>
    <col collapsed="false" customWidth="true" hidden="false" outlineLevel="0" max="15" min="15" style="7" width="12"/>
    <col collapsed="false" customWidth="false" hidden="false" outlineLevel="0" max="17" min="16" style="7" width="8.86"/>
    <col collapsed="false" customWidth="true" hidden="false" outlineLevel="0" max="18" min="18" style="7" width="16.14"/>
    <col collapsed="false" customWidth="false" hidden="false" outlineLevel="0" max="19" min="19" style="7" width="8.86"/>
    <col collapsed="false" customWidth="true" hidden="false" outlineLevel="0" max="20" min="20" style="7" width="15.72"/>
    <col collapsed="false" customWidth="false" hidden="false" outlineLevel="0" max="27" min="21" style="7" width="8.86"/>
    <col collapsed="false" customWidth="true" hidden="false" outlineLevel="0" max="28" min="28" style="7" width="15.72"/>
    <col collapsed="false" customWidth="false" hidden="false" outlineLevel="0" max="30" min="29" style="7" width="8.86"/>
    <col collapsed="false" customWidth="true" hidden="false" outlineLevel="0" max="31" min="31" style="7" width="12"/>
    <col collapsed="false" customWidth="false" hidden="false" outlineLevel="0" max="35" min="32" style="7" width="8.86"/>
    <col collapsed="false" customWidth="true" hidden="false" outlineLevel="0" max="36" min="36" style="7" width="16.72"/>
    <col collapsed="false" customWidth="false" hidden="false" outlineLevel="0" max="43" min="37" style="7" width="8.86"/>
    <col collapsed="false" customWidth="true" hidden="false" outlineLevel="0" max="44" min="44" style="7" width="20.29"/>
    <col collapsed="false" customWidth="false" hidden="false" outlineLevel="0" max="16384" min="45" style="7" width="8.86"/>
  </cols>
  <sheetData>
    <row r="1" customFormat="false" ht="15" hidden="false" customHeight="false" outlineLevel="0" collapsed="false">
      <c r="A1" s="9" t="s">
        <v>107</v>
      </c>
      <c r="B1" s="9" t="s">
        <v>108</v>
      </c>
      <c r="C1" s="9" t="s">
        <v>109</v>
      </c>
      <c r="D1" s="9" t="s">
        <v>110</v>
      </c>
      <c r="E1" s="9" t="s">
        <v>111</v>
      </c>
      <c r="F1" s="9" t="s">
        <v>112</v>
      </c>
      <c r="G1" s="9" t="s">
        <v>113</v>
      </c>
      <c r="H1" s="9" t="s">
        <v>114</v>
      </c>
      <c r="I1" s="9" t="s">
        <v>115</v>
      </c>
      <c r="J1" s="9" t="s">
        <v>116</v>
      </c>
      <c r="K1" s="9" t="s">
        <v>117</v>
      </c>
      <c r="L1" s="9" t="s">
        <v>118</v>
      </c>
      <c r="M1" s="10" t="s">
        <v>119</v>
      </c>
      <c r="N1" s="10" t="s">
        <v>120</v>
      </c>
      <c r="O1" s="10" t="s">
        <v>121</v>
      </c>
      <c r="P1" s="10" t="s">
        <v>122</v>
      </c>
      <c r="Q1" s="10" t="s">
        <v>123</v>
      </c>
      <c r="R1" s="10" t="s">
        <v>124</v>
      </c>
      <c r="S1" s="10" t="s">
        <v>125</v>
      </c>
      <c r="T1" s="10" t="s">
        <v>126</v>
      </c>
      <c r="U1" s="11" t="s">
        <v>127</v>
      </c>
      <c r="V1" s="11" t="s">
        <v>128</v>
      </c>
      <c r="W1" s="11" t="s">
        <v>129</v>
      </c>
      <c r="X1" s="11" t="s">
        <v>130</v>
      </c>
      <c r="Y1" s="11" t="s">
        <v>131</v>
      </c>
      <c r="Z1" s="11" t="s">
        <v>132</v>
      </c>
      <c r="AA1" s="11" t="s">
        <v>133</v>
      </c>
      <c r="AB1" s="11" t="s">
        <v>134</v>
      </c>
      <c r="AC1" s="12" t="s">
        <v>135</v>
      </c>
      <c r="AD1" s="12" t="s">
        <v>136</v>
      </c>
      <c r="AE1" s="12" t="s">
        <v>137</v>
      </c>
      <c r="AF1" s="12" t="s">
        <v>138</v>
      </c>
      <c r="AG1" s="12" t="s">
        <v>139</v>
      </c>
      <c r="AH1" s="12" t="s">
        <v>140</v>
      </c>
      <c r="AI1" s="12" t="s">
        <v>141</v>
      </c>
      <c r="AJ1" s="12" t="s">
        <v>142</v>
      </c>
      <c r="AK1" s="13" t="s">
        <v>143</v>
      </c>
      <c r="AL1" s="13" t="s">
        <v>144</v>
      </c>
      <c r="AM1" s="13" t="s">
        <v>145</v>
      </c>
      <c r="AN1" s="13" t="s">
        <v>146</v>
      </c>
      <c r="AO1" s="13" t="s">
        <v>147</v>
      </c>
      <c r="AP1" s="13" t="s">
        <v>148</v>
      </c>
      <c r="AQ1" s="13" t="s">
        <v>149</v>
      </c>
      <c r="AR1" s="13" t="s">
        <v>150</v>
      </c>
    </row>
    <row r="2" customFormat="false" ht="15" hidden="false" customHeight="false" outlineLevel="0" collapsed="false">
      <c r="A2" s="7" t="s">
        <v>151</v>
      </c>
      <c r="B2" s="7" t="n">
        <v>5248</v>
      </c>
      <c r="C2" s="7" t="n">
        <v>30</v>
      </c>
      <c r="D2" s="7" t="n">
        <f aca="false">800/1000</f>
        <v>0.8</v>
      </c>
      <c r="E2" s="7" t="n">
        <f aca="false">7/1000</f>
        <v>0.007</v>
      </c>
      <c r="F2" s="7" t="n">
        <v>57.14</v>
      </c>
      <c r="G2" s="7" t="n">
        <f aca="false">3/1000</f>
        <v>0.003</v>
      </c>
      <c r="H2" s="7" t="n">
        <f aca="false">3.14*7^2</f>
        <v>153.86</v>
      </c>
      <c r="J2" s="7" t="n">
        <v>0</v>
      </c>
      <c r="K2" s="7" t="n">
        <v>1</v>
      </c>
      <c r="L2" s="3" t="s">
        <v>152</v>
      </c>
      <c r="M2" s="7" t="n">
        <f aca="false">(1000*100)/1000</f>
        <v>100</v>
      </c>
      <c r="N2" s="7" t="n">
        <v>103748.62419</v>
      </c>
      <c r="O2" s="7" t="n">
        <v>10</v>
      </c>
      <c r="P2" s="7" t="n">
        <v>0</v>
      </c>
      <c r="Q2" s="7" t="n">
        <v>0</v>
      </c>
      <c r="R2" s="7" t="n">
        <v>0</v>
      </c>
      <c r="S2" s="7" t="n">
        <v>0</v>
      </c>
      <c r="T2" s="3" t="s">
        <v>152</v>
      </c>
      <c r="AJ2" s="14"/>
      <c r="AR2" s="14"/>
    </row>
    <row r="3" customFormat="false" ht="15" hidden="false" customHeight="false" outlineLevel="0" collapsed="false">
      <c r="L3" s="14"/>
      <c r="T3" s="14"/>
      <c r="AB3" s="14"/>
      <c r="AJ3" s="14"/>
      <c r="AR3" s="14"/>
    </row>
    <row r="4" customFormat="false" ht="15" hidden="false" customHeight="false" outlineLevel="0" collapsed="false">
      <c r="L4" s="14"/>
      <c r="T4" s="14"/>
      <c r="AB4" s="14"/>
      <c r="AJ4" s="14"/>
      <c r="AR4" s="14"/>
    </row>
    <row r="5" customFormat="false" ht="15" hidden="false" customHeight="false" outlineLevel="0" collapsed="false">
      <c r="L5" s="14"/>
      <c r="T5" s="14"/>
      <c r="AB5" s="14"/>
      <c r="AJ5" s="14"/>
      <c r="AR5" s="14"/>
    </row>
    <row r="6" customFormat="false" ht="15" hidden="false" customHeight="false" outlineLevel="0" collapsed="false">
      <c r="L6" s="14"/>
      <c r="T6" s="14"/>
      <c r="AB6" s="14"/>
      <c r="AJ6" s="14"/>
      <c r="AR6" s="14"/>
    </row>
    <row r="7" customFormat="false" ht="15" hidden="false" customHeight="false" outlineLevel="0" collapsed="false">
      <c r="L7" s="14"/>
      <c r="T7" s="14"/>
      <c r="AB7" s="14"/>
      <c r="AJ7" s="14"/>
      <c r="AR7" s="14"/>
    </row>
    <row r="8" customFormat="false" ht="15" hidden="false" customHeight="false" outlineLevel="0" collapsed="false">
      <c r="L8" s="14"/>
      <c r="T8" s="14"/>
      <c r="AB8" s="14"/>
      <c r="AJ8" s="14"/>
      <c r="AR8" s="14"/>
    </row>
    <row r="9" customFormat="false" ht="15" hidden="false" customHeight="false" outlineLevel="0" collapsed="false">
      <c r="L9" s="14"/>
      <c r="T9" s="14"/>
      <c r="AB9" s="14"/>
      <c r="AJ9" s="14"/>
      <c r="AR9" s="14"/>
    </row>
    <row r="10" customFormat="false" ht="15" hidden="false" customHeight="false" outlineLevel="0" collapsed="false">
      <c r="L10" s="14"/>
      <c r="T10" s="14"/>
      <c r="AB10" s="14"/>
      <c r="AJ10" s="14"/>
      <c r="AR10" s="14"/>
    </row>
    <row r="11" customFormat="false" ht="15" hidden="false" customHeight="false" outlineLevel="0" collapsed="false">
      <c r="L11" s="14"/>
      <c r="T11" s="14"/>
      <c r="AB11" s="14"/>
      <c r="AJ11" s="14"/>
      <c r="AR11" s="14"/>
    </row>
    <row r="12" customFormat="false" ht="15" hidden="false" customHeight="false" outlineLevel="0" collapsed="false">
      <c r="L12" s="14"/>
      <c r="T12" s="14"/>
      <c r="AB12" s="14"/>
      <c r="AJ12" s="14"/>
      <c r="AR12" s="14"/>
    </row>
    <row r="13" customFormat="false" ht="15" hidden="false" customHeight="false" outlineLevel="0" collapsed="false">
      <c r="L13" s="14"/>
      <c r="T13" s="14"/>
      <c r="AB13" s="14"/>
      <c r="AJ13" s="14"/>
      <c r="AR13" s="14"/>
    </row>
    <row r="14" customFormat="false" ht="15" hidden="false" customHeight="false" outlineLevel="0" collapsed="false">
      <c r="L14" s="14"/>
      <c r="T14" s="14"/>
      <c r="AB14" s="14"/>
      <c r="AJ14" s="14"/>
      <c r="AR14" s="14"/>
    </row>
    <row r="15" customFormat="false" ht="15" hidden="false" customHeight="false" outlineLevel="0" collapsed="false">
      <c r="L15" s="14"/>
      <c r="T15" s="14"/>
      <c r="AB15" s="14"/>
      <c r="AJ15" s="14"/>
      <c r="AR15" s="14"/>
    </row>
    <row r="16" customFormat="false" ht="15" hidden="false" customHeight="false" outlineLevel="0" collapsed="false">
      <c r="L16" s="14"/>
      <c r="T16" s="14"/>
      <c r="AB16" s="14"/>
      <c r="AJ16" s="14"/>
      <c r="AR16" s="14"/>
    </row>
    <row r="17" customFormat="false" ht="15" hidden="false" customHeight="false" outlineLevel="0" collapsed="false">
      <c r="L17" s="14"/>
      <c r="T17" s="14"/>
      <c r="AB17" s="14"/>
      <c r="AJ17" s="14"/>
      <c r="AR17" s="14"/>
    </row>
    <row r="18" customFormat="false" ht="15" hidden="false" customHeight="false" outlineLevel="0" collapsed="false">
      <c r="L18" s="14"/>
      <c r="T18" s="14"/>
      <c r="AB18" s="14"/>
      <c r="AJ18" s="14"/>
      <c r="AR18" s="14"/>
    </row>
    <row r="19" customFormat="false" ht="15" hidden="false" customHeight="false" outlineLevel="0" collapsed="false">
      <c r="L19" s="14"/>
      <c r="T19" s="14"/>
      <c r="AB19" s="14"/>
      <c r="AJ19" s="14"/>
      <c r="AR19" s="14"/>
    </row>
    <row r="20" customFormat="false" ht="15" hidden="false" customHeight="false" outlineLevel="0" collapsed="false">
      <c r="L20" s="14"/>
      <c r="T20" s="14"/>
      <c r="AB20" s="14"/>
      <c r="AJ20" s="14"/>
      <c r="AR20" s="14"/>
    </row>
    <row r="21" s="15" customFormat="true" ht="15" hidden="false" customHeight="false" outlineLevel="0" collapsed="false"/>
    <row r="22" customFormat="false" ht="15" hidden="false" customHeight="false" outlineLevel="0" collapsed="false">
      <c r="L22" s="14"/>
      <c r="T22" s="14"/>
      <c r="AB22" s="14"/>
      <c r="AJ22" s="14"/>
      <c r="AR22" s="14"/>
    </row>
    <row r="23" customFormat="false" ht="15" hidden="false" customHeight="false" outlineLevel="0" collapsed="false">
      <c r="L23" s="14"/>
      <c r="T23" s="14"/>
      <c r="AB23" s="14"/>
      <c r="AJ23" s="14"/>
      <c r="AR23" s="14"/>
    </row>
    <row r="24" customFormat="false" ht="15" hidden="false" customHeight="false" outlineLevel="0" collapsed="false">
      <c r="L24" s="14"/>
      <c r="T24" s="14"/>
      <c r="AB24" s="14"/>
      <c r="AJ24" s="14"/>
      <c r="AR24" s="14"/>
    </row>
    <row r="25" customFormat="false" ht="15" hidden="false" customHeight="false" outlineLevel="0" collapsed="false">
      <c r="L25" s="14"/>
      <c r="T25" s="14"/>
      <c r="AB25" s="14"/>
      <c r="AJ25" s="14"/>
      <c r="AR25" s="14"/>
    </row>
    <row r="26" customFormat="false" ht="15" hidden="false" customHeight="false" outlineLevel="0" collapsed="false">
      <c r="L26" s="14"/>
      <c r="T26" s="14"/>
      <c r="AB26" s="14"/>
      <c r="AJ26" s="14"/>
      <c r="AR26" s="14"/>
    </row>
    <row r="27" customFormat="false" ht="15" hidden="false" customHeight="false" outlineLevel="0" collapsed="false">
      <c r="L27" s="14"/>
      <c r="T27" s="14"/>
      <c r="AB27" s="14"/>
      <c r="AJ27" s="14"/>
      <c r="AR27" s="14"/>
    </row>
    <row r="28" customFormat="false" ht="15" hidden="false" customHeight="false" outlineLevel="0" collapsed="false">
      <c r="L28" s="14"/>
      <c r="T28" s="14"/>
      <c r="AB28" s="14"/>
      <c r="AJ28" s="14"/>
      <c r="AR28" s="14"/>
    </row>
    <row r="29" customFormat="false" ht="15" hidden="false" customHeight="false" outlineLevel="0" collapsed="false">
      <c r="L29" s="14"/>
      <c r="T29" s="14"/>
      <c r="AB29" s="14"/>
      <c r="AJ29" s="14"/>
      <c r="AR29" s="14"/>
    </row>
    <row r="30" customFormat="false" ht="15" hidden="false" customHeight="false" outlineLevel="0" collapsed="false">
      <c r="L30" s="14"/>
      <c r="T30" s="14"/>
      <c r="AB30" s="14"/>
      <c r="AJ30" s="14"/>
      <c r="AR30" s="14"/>
    </row>
    <row r="31" customFormat="false" ht="15" hidden="false" customHeight="false" outlineLevel="0" collapsed="false">
      <c r="L31" s="14"/>
      <c r="T31" s="14"/>
      <c r="AB31" s="14"/>
      <c r="AJ31" s="14"/>
      <c r="AR31" s="14"/>
    </row>
    <row r="32" customFormat="false" ht="15" hidden="false" customHeight="false" outlineLevel="0" collapsed="false">
      <c r="L32" s="14"/>
      <c r="T32" s="14"/>
      <c r="AB32" s="14"/>
      <c r="AJ32" s="14"/>
      <c r="AR32" s="14"/>
    </row>
    <row r="33" customFormat="false" ht="15" hidden="false" customHeight="false" outlineLevel="0" collapsed="false">
      <c r="L33" s="14"/>
      <c r="T33" s="14"/>
      <c r="AB33" s="14"/>
      <c r="AJ33" s="14"/>
      <c r="AR33" s="14"/>
    </row>
    <row r="34" customFormat="false" ht="15" hidden="false" customHeight="false" outlineLevel="0" collapsed="false">
      <c r="L34" s="14"/>
      <c r="T34" s="14"/>
      <c r="AB34" s="14"/>
      <c r="AJ34" s="14"/>
      <c r="AR34" s="14"/>
    </row>
    <row r="35" customFormat="false" ht="15" hidden="false" customHeight="false" outlineLevel="0" collapsed="false">
      <c r="L35" s="14"/>
      <c r="T35" s="14"/>
      <c r="AB35" s="14"/>
      <c r="AJ35" s="14"/>
      <c r="AR35" s="14"/>
    </row>
    <row r="36" customFormat="false" ht="15" hidden="false" customHeight="false" outlineLevel="0" collapsed="false">
      <c r="L36" s="14"/>
      <c r="T36" s="14"/>
      <c r="AB36" s="14"/>
      <c r="AJ36" s="14"/>
      <c r="AR36" s="14"/>
    </row>
    <row r="37" customFormat="false" ht="15" hidden="false" customHeight="false" outlineLevel="0" collapsed="false">
      <c r="L37" s="14"/>
      <c r="T37" s="14"/>
      <c r="AB37" s="14"/>
      <c r="AJ37" s="14"/>
      <c r="AR37" s="14"/>
    </row>
    <row r="38" customFormat="false" ht="15" hidden="false" customHeight="false" outlineLevel="0" collapsed="false">
      <c r="L38" s="14"/>
      <c r="T38" s="14"/>
      <c r="AB38" s="14"/>
      <c r="AJ38" s="14"/>
      <c r="AR38" s="14"/>
    </row>
    <row r="39" customFormat="false" ht="15" hidden="false" customHeight="false" outlineLevel="0" collapsed="false">
      <c r="L39" s="14"/>
      <c r="T39" s="14"/>
      <c r="AB39" s="14"/>
      <c r="AJ39" s="14"/>
      <c r="AR39" s="14"/>
    </row>
    <row r="40" customFormat="false" ht="15" hidden="false" customHeight="false" outlineLevel="0" collapsed="false">
      <c r="L40" s="14"/>
      <c r="T40" s="14"/>
      <c r="AB40" s="14"/>
      <c r="AJ40" s="14"/>
      <c r="AR40" s="14"/>
    </row>
    <row r="41" customFormat="false" ht="15" hidden="false" customHeight="false" outlineLevel="0" collapsed="false">
      <c r="L41" s="14"/>
      <c r="T41" s="14"/>
      <c r="AB41" s="14"/>
      <c r="AJ41" s="14"/>
      <c r="AR41" s="14"/>
    </row>
    <row r="42" customFormat="false" ht="15" hidden="false" customHeight="false" outlineLevel="0" collapsed="false">
      <c r="L42" s="14"/>
      <c r="T42" s="14"/>
      <c r="AB42" s="14"/>
      <c r="AJ42" s="14"/>
      <c r="AR42" s="14"/>
    </row>
    <row r="43" customFormat="false" ht="15" hidden="false" customHeight="false" outlineLevel="0" collapsed="false">
      <c r="L43" s="14"/>
      <c r="T43" s="14"/>
      <c r="AB43" s="14"/>
      <c r="AJ43" s="14"/>
      <c r="AR43" s="14"/>
    </row>
    <row r="44" customFormat="false" ht="15" hidden="false" customHeight="false" outlineLevel="0" collapsed="false">
      <c r="L44" s="14"/>
      <c r="T44" s="14"/>
      <c r="AB44" s="14"/>
      <c r="AJ44" s="14"/>
      <c r="AR44" s="14"/>
    </row>
    <row r="45" customFormat="false" ht="15" hidden="false" customHeight="false" outlineLevel="0" collapsed="false">
      <c r="L45" s="14"/>
      <c r="T45" s="14"/>
      <c r="AB45" s="14"/>
      <c r="AJ45" s="14"/>
      <c r="AR45" s="14"/>
    </row>
    <row r="46" customFormat="false" ht="15" hidden="false" customHeight="false" outlineLevel="0" collapsed="false">
      <c r="L46" s="14"/>
      <c r="T46" s="14"/>
      <c r="AB46" s="14"/>
      <c r="AJ46" s="14"/>
      <c r="AR46" s="14"/>
    </row>
    <row r="47" customFormat="false" ht="15" hidden="false" customHeight="false" outlineLevel="0" collapsed="false">
      <c r="L47" s="14"/>
      <c r="T47" s="14"/>
      <c r="AB47" s="14"/>
      <c r="AJ47" s="14"/>
      <c r="AR47" s="14"/>
    </row>
    <row r="48" customFormat="false" ht="15" hidden="false" customHeight="false" outlineLevel="0" collapsed="false">
      <c r="L48" s="14"/>
      <c r="T48" s="14"/>
      <c r="AB48" s="14"/>
      <c r="AJ48" s="14"/>
      <c r="AR48" s="14"/>
    </row>
    <row r="49" customFormat="false" ht="15" hidden="false" customHeight="false" outlineLevel="0" collapsed="false">
      <c r="L49" s="14"/>
      <c r="T49" s="14"/>
      <c r="AB49" s="14"/>
      <c r="AJ49" s="14"/>
      <c r="AR49" s="14"/>
    </row>
    <row r="50" customFormat="false" ht="15" hidden="false" customHeight="false" outlineLevel="0" collapsed="false">
      <c r="L50" s="14"/>
      <c r="T50" s="14"/>
      <c r="AB50" s="14"/>
      <c r="AJ50" s="14"/>
      <c r="AR50" s="14"/>
    </row>
    <row r="51" customFormat="false" ht="15" hidden="false" customHeight="false" outlineLevel="0" collapsed="false">
      <c r="L51" s="14"/>
      <c r="T51" s="14"/>
      <c r="AB51" s="14"/>
      <c r="AJ51" s="14"/>
      <c r="AR51" s="14"/>
    </row>
  </sheetData>
  <dataValidations count="1">
    <dataValidation allowBlank="true" errorStyle="stop" operator="between" showDropDown="false" showErrorMessage="true" showInputMessage="true" sqref="AJ2:AJ51 AR2:AR51 L3:L51 T3:T51 AB3:AB5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21"/>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AW14" activeCellId="0" sqref="AW14"/>
    </sheetView>
  </sheetViews>
  <sheetFormatPr defaultColWidth="8.859375" defaultRowHeight="15" zeroHeight="false" outlineLevelRow="0" outlineLevelCol="0"/>
  <cols>
    <col collapsed="false" customWidth="false" hidden="false" outlineLevel="0" max="1" min="1" style="16" width="8.86"/>
    <col collapsed="false" customWidth="true" hidden="false" outlineLevel="0" max="2" min="2" style="16" width="11.86"/>
    <col collapsed="false" customWidth="false" hidden="false" outlineLevel="0" max="42" min="3" style="16" width="8.86"/>
    <col collapsed="false" customWidth="true" hidden="false" outlineLevel="0" max="43" min="43" style="16" width="11.86"/>
    <col collapsed="false" customWidth="false" hidden="false" outlineLevel="0" max="44" min="44" style="16" width="8.86"/>
    <col collapsed="false" customWidth="true" hidden="false" outlineLevel="0" max="45" min="45" style="16" width="9.86"/>
    <col collapsed="false" customWidth="true" hidden="false" outlineLevel="0" max="46" min="46" style="16" width="10.29"/>
    <col collapsed="false" customWidth="false" hidden="false" outlineLevel="0" max="47" min="47" style="16" width="8.86"/>
    <col collapsed="false" customWidth="true" hidden="false" outlineLevel="0" max="48" min="48" style="16" width="10.29"/>
    <col collapsed="false" customWidth="true" hidden="false" outlineLevel="0" max="49" min="49" style="16" width="11.86"/>
    <col collapsed="false" customWidth="false" hidden="false" outlineLevel="0" max="50" min="50" style="16" width="8.86"/>
    <col collapsed="false" customWidth="true" hidden="false" outlineLevel="0" max="51" min="51" style="16" width="11.57"/>
    <col collapsed="false" customWidth="false" hidden="false" outlineLevel="0" max="16384" min="52" style="16" width="8.86"/>
  </cols>
  <sheetData>
    <row r="1" customFormat="false" ht="15" hidden="false" customHeight="false" outlineLevel="0" collapsed="false">
      <c r="A1" s="17" t="s">
        <v>107</v>
      </c>
      <c r="B1" s="17" t="s">
        <v>55</v>
      </c>
      <c r="C1" s="17" t="s">
        <v>57</v>
      </c>
      <c r="D1" s="17" t="s">
        <v>59</v>
      </c>
      <c r="E1" s="17" t="s">
        <v>153</v>
      </c>
      <c r="F1" s="17" t="s">
        <v>154</v>
      </c>
      <c r="G1" s="17" t="s">
        <v>155</v>
      </c>
      <c r="H1" s="17" t="s">
        <v>156</v>
      </c>
      <c r="I1" s="17" t="s">
        <v>157</v>
      </c>
      <c r="J1" s="17" t="s">
        <v>158</v>
      </c>
      <c r="K1" s="17" t="s">
        <v>159</v>
      </c>
      <c r="L1" s="17" t="s">
        <v>160</v>
      </c>
      <c r="M1" s="17" t="s">
        <v>161</v>
      </c>
      <c r="N1" s="17" t="s">
        <v>162</v>
      </c>
      <c r="O1" s="17" t="s">
        <v>163</v>
      </c>
      <c r="P1" s="17" t="s">
        <v>164</v>
      </c>
      <c r="Q1" s="17" t="s">
        <v>165</v>
      </c>
      <c r="R1" s="17" t="s">
        <v>166</v>
      </c>
      <c r="S1" s="17" t="s">
        <v>167</v>
      </c>
      <c r="T1" s="17" t="s">
        <v>168</v>
      </c>
      <c r="U1" s="17" t="s">
        <v>169</v>
      </c>
      <c r="V1" s="17" t="s">
        <v>170</v>
      </c>
      <c r="W1" s="17" t="s">
        <v>171</v>
      </c>
      <c r="X1" s="17" t="s">
        <v>172</v>
      </c>
      <c r="Y1" s="17" t="s">
        <v>173</v>
      </c>
      <c r="Z1" s="17" t="s">
        <v>174</v>
      </c>
      <c r="AA1" s="17" t="s">
        <v>175</v>
      </c>
      <c r="AB1" s="17" t="s">
        <v>176</v>
      </c>
      <c r="AC1" s="17" t="s">
        <v>177</v>
      </c>
      <c r="AD1" s="17" t="s">
        <v>178</v>
      </c>
      <c r="AE1" s="17" t="s">
        <v>179</v>
      </c>
      <c r="AF1" s="17" t="s">
        <v>180</v>
      </c>
      <c r="AG1" s="17" t="s">
        <v>181</v>
      </c>
      <c r="AH1" s="17" t="s">
        <v>182</v>
      </c>
      <c r="AI1" s="17" t="s">
        <v>183</v>
      </c>
      <c r="AJ1" s="17" t="s">
        <v>184</v>
      </c>
      <c r="AK1" s="17" t="s">
        <v>185</v>
      </c>
      <c r="AL1" s="17" t="s">
        <v>186</v>
      </c>
      <c r="AM1" s="17" t="s">
        <v>187</v>
      </c>
      <c r="AN1" s="17" t="s">
        <v>188</v>
      </c>
      <c r="AO1" s="17" t="s">
        <v>189</v>
      </c>
      <c r="AP1" s="17" t="s">
        <v>65</v>
      </c>
      <c r="AQ1" s="17" t="s">
        <v>67</v>
      </c>
      <c r="AR1" s="17" t="s">
        <v>69</v>
      </c>
      <c r="AS1" s="17" t="s">
        <v>71</v>
      </c>
      <c r="AT1" s="17" t="s">
        <v>73</v>
      </c>
      <c r="AU1" s="17" t="s">
        <v>75</v>
      </c>
      <c r="AV1" s="17" t="s">
        <v>77</v>
      </c>
      <c r="AW1" s="17" t="s">
        <v>79</v>
      </c>
      <c r="AX1" s="17" t="s">
        <v>81</v>
      </c>
      <c r="AY1" s="17" t="s">
        <v>83</v>
      </c>
    </row>
    <row r="2" customFormat="false" ht="15" hidden="false" customHeight="false" outlineLevel="0" collapsed="false">
      <c r="A2" s="16" t="str">
        <f aca="false">Main_Input!A2</f>
        <v>Config1</v>
      </c>
      <c r="X2" s="18"/>
      <c r="Y2" s="18"/>
      <c r="Z2" s="18"/>
      <c r="AA2" s="18"/>
      <c r="AB2" s="18"/>
      <c r="AC2" s="18"/>
      <c r="AD2" s="18"/>
      <c r="AE2" s="18"/>
      <c r="AF2" s="18"/>
      <c r="AG2" s="18"/>
      <c r="AH2" s="18"/>
      <c r="AI2" s="18"/>
      <c r="AJ2" s="18"/>
      <c r="AK2" s="18"/>
      <c r="AL2" s="18"/>
      <c r="AM2" s="18"/>
      <c r="AN2" s="18"/>
      <c r="AO2" s="18"/>
    </row>
    <row r="3" customFormat="false" ht="15" hidden="false" customHeight="false" outlineLevel="0" collapsed="false">
      <c r="X3" s="18"/>
      <c r="Y3" s="18"/>
      <c r="Z3" s="18"/>
      <c r="AA3" s="18"/>
      <c r="AB3" s="18"/>
      <c r="AC3" s="18"/>
      <c r="AD3" s="18"/>
      <c r="AE3" s="18"/>
      <c r="AF3" s="18"/>
      <c r="AG3" s="18"/>
      <c r="AH3" s="18"/>
      <c r="AI3" s="18"/>
      <c r="AJ3" s="18"/>
      <c r="AK3" s="18"/>
      <c r="AL3" s="18"/>
      <c r="AM3" s="18"/>
      <c r="AN3" s="18"/>
      <c r="AO3" s="18"/>
    </row>
    <row r="4" customFormat="false" ht="15" hidden="false" customHeight="false" outlineLevel="0" collapsed="false">
      <c r="X4" s="18"/>
      <c r="Y4" s="18"/>
      <c r="Z4" s="18"/>
      <c r="AA4" s="18"/>
      <c r="AB4" s="18"/>
      <c r="AC4" s="18"/>
      <c r="AD4" s="18"/>
      <c r="AE4" s="18"/>
      <c r="AF4" s="18"/>
      <c r="AG4" s="18"/>
      <c r="AH4" s="18"/>
      <c r="AI4" s="18"/>
      <c r="AJ4" s="18"/>
      <c r="AK4" s="18"/>
      <c r="AL4" s="18"/>
      <c r="AM4" s="18"/>
      <c r="AN4" s="18"/>
      <c r="AO4" s="18"/>
    </row>
    <row r="21" s="19" customFormat="true" ht="1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1"/>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A23" activeCellId="0" sqref="A23"/>
    </sheetView>
  </sheetViews>
  <sheetFormatPr defaultColWidth="8.859375" defaultRowHeight="15" zeroHeight="false" outlineLevelRow="0" outlineLevelCol="0"/>
  <cols>
    <col collapsed="false" customWidth="false" hidden="false" outlineLevel="0" max="6" min="1" style="1" width="8.86"/>
    <col collapsed="false" customWidth="true" hidden="false" outlineLevel="0" max="7" min="7" style="1" width="10"/>
    <col collapsed="false" customWidth="false" hidden="false" outlineLevel="0" max="17" min="8" style="1" width="8.86"/>
    <col collapsed="false" customWidth="true" hidden="false" outlineLevel="0" max="18" min="18" style="1" width="10.14"/>
    <col collapsed="false" customWidth="false" hidden="false" outlineLevel="0" max="19" min="19" style="1" width="8.86"/>
    <col collapsed="false" customWidth="true" hidden="false" outlineLevel="0" max="20" min="20" style="1" width="9.57"/>
    <col collapsed="false" customWidth="true" hidden="false" outlineLevel="0" max="21" min="21" style="1" width="10.57"/>
    <col collapsed="false" customWidth="false" hidden="false" outlineLevel="0" max="16384" min="22" style="1" width="8.86"/>
  </cols>
  <sheetData>
    <row r="1" customFormat="false" ht="15" hidden="false" customHeight="false" outlineLevel="0" collapsed="false">
      <c r="A1" s="20" t="s">
        <v>107</v>
      </c>
      <c r="B1" s="20" t="s">
        <v>190</v>
      </c>
      <c r="C1" s="20" t="s">
        <v>191</v>
      </c>
      <c r="D1" s="20" t="s">
        <v>192</v>
      </c>
      <c r="E1" s="20" t="s">
        <v>193</v>
      </c>
      <c r="F1" s="20" t="s">
        <v>194</v>
      </c>
      <c r="G1" s="21" t="s">
        <v>195</v>
      </c>
      <c r="H1" s="20" t="s">
        <v>196</v>
      </c>
      <c r="I1" s="20" t="s">
        <v>197</v>
      </c>
      <c r="J1" s="21" t="s">
        <v>198</v>
      </c>
      <c r="K1" s="20" t="s">
        <v>199</v>
      </c>
      <c r="L1" s="20" t="s">
        <v>200</v>
      </c>
      <c r="M1" s="21" t="s">
        <v>201</v>
      </c>
      <c r="N1" s="20" t="s">
        <v>202</v>
      </c>
      <c r="O1" s="20" t="s">
        <v>203</v>
      </c>
      <c r="P1" s="21" t="s">
        <v>204</v>
      </c>
      <c r="Q1" s="20" t="s">
        <v>205</v>
      </c>
      <c r="R1" s="20" t="s">
        <v>206</v>
      </c>
      <c r="S1" s="20" t="s">
        <v>207</v>
      </c>
      <c r="T1" s="20" t="s">
        <v>208</v>
      </c>
      <c r="U1" s="20" t="s">
        <v>209</v>
      </c>
    </row>
    <row r="2" customFormat="false" ht="15" hidden="false" customHeight="false" outlineLevel="0" collapsed="false">
      <c r="A2" s="7" t="str">
        <f aca="false">Main_Input!A2</f>
        <v>Config1</v>
      </c>
      <c r="B2" s="7" t="n">
        <v>0</v>
      </c>
      <c r="C2" s="7" t="n">
        <v>0</v>
      </c>
      <c r="D2" s="7" t="n">
        <v>0</v>
      </c>
      <c r="E2" s="7" t="n">
        <v>0</v>
      </c>
      <c r="F2" s="7" t="n">
        <v>0</v>
      </c>
      <c r="G2" s="7"/>
      <c r="H2" s="7" t="n">
        <v>0</v>
      </c>
      <c r="I2" s="7" t="n">
        <v>0</v>
      </c>
      <c r="J2" s="7"/>
      <c r="K2" s="7" t="n">
        <v>0</v>
      </c>
      <c r="L2" s="7" t="n">
        <v>0</v>
      </c>
      <c r="M2" s="7"/>
      <c r="N2" s="7" t="n">
        <v>0</v>
      </c>
      <c r="O2" s="7" t="n">
        <v>0</v>
      </c>
      <c r="P2" s="7"/>
      <c r="Q2" s="7" t="n">
        <v>0</v>
      </c>
      <c r="R2" s="7" t="n">
        <v>0</v>
      </c>
      <c r="S2" s="7" t="n">
        <v>0</v>
      </c>
      <c r="T2" s="7" t="n">
        <v>0</v>
      </c>
      <c r="U2" s="7" t="n">
        <v>0</v>
      </c>
    </row>
    <row r="3" customFormat="false" ht="15" hidden="false" customHeight="false" outlineLevel="0" collapsed="false">
      <c r="A3" s="7"/>
      <c r="B3" s="7"/>
      <c r="C3" s="7"/>
      <c r="D3" s="7"/>
      <c r="E3" s="7"/>
      <c r="F3" s="7"/>
      <c r="G3" s="7"/>
      <c r="H3" s="7"/>
      <c r="I3" s="7"/>
      <c r="J3" s="7"/>
      <c r="K3" s="7"/>
      <c r="L3" s="7"/>
      <c r="M3" s="7"/>
      <c r="N3" s="7"/>
      <c r="O3" s="7"/>
      <c r="P3" s="7"/>
      <c r="Q3" s="7"/>
      <c r="R3" s="7"/>
      <c r="S3" s="7"/>
      <c r="T3" s="7"/>
      <c r="U3" s="7"/>
    </row>
    <row r="4" customFormat="false" ht="15" hidden="false" customHeight="false" outlineLevel="0" collapsed="false">
      <c r="A4" s="7"/>
      <c r="B4" s="7"/>
      <c r="C4" s="7"/>
      <c r="D4" s="7"/>
      <c r="E4" s="7"/>
      <c r="F4" s="7"/>
      <c r="G4" s="7"/>
      <c r="H4" s="7"/>
      <c r="I4" s="7"/>
      <c r="J4" s="7"/>
      <c r="K4" s="7"/>
      <c r="L4" s="7"/>
      <c r="M4" s="7"/>
      <c r="N4" s="7"/>
      <c r="O4" s="7"/>
      <c r="P4" s="7"/>
      <c r="Q4" s="7"/>
      <c r="R4" s="7"/>
      <c r="S4" s="7"/>
      <c r="T4" s="7"/>
      <c r="U4" s="7"/>
    </row>
    <row r="5" customFormat="false" ht="15" hidden="false" customHeight="false" outlineLevel="0" collapsed="false">
      <c r="A5" s="7"/>
      <c r="B5" s="7"/>
      <c r="C5" s="7"/>
      <c r="D5" s="7"/>
      <c r="E5" s="7"/>
      <c r="F5" s="7"/>
      <c r="G5" s="7"/>
      <c r="H5" s="7"/>
      <c r="I5" s="7"/>
      <c r="J5" s="7"/>
      <c r="K5" s="7"/>
      <c r="L5" s="7"/>
      <c r="M5" s="7"/>
      <c r="N5" s="7"/>
      <c r="O5" s="7"/>
      <c r="P5" s="7"/>
      <c r="Q5" s="7"/>
      <c r="R5" s="7"/>
      <c r="S5" s="7"/>
      <c r="T5" s="7"/>
      <c r="U5" s="7"/>
    </row>
    <row r="6" customFormat="false" ht="15" hidden="false" customHeight="false" outlineLevel="0" collapsed="false">
      <c r="A6" s="7"/>
      <c r="B6" s="7"/>
      <c r="C6" s="7"/>
      <c r="D6" s="7"/>
      <c r="E6" s="7"/>
      <c r="F6" s="7"/>
      <c r="G6" s="7"/>
      <c r="H6" s="7"/>
      <c r="I6" s="7"/>
      <c r="J6" s="7"/>
      <c r="K6" s="7"/>
      <c r="L6" s="7"/>
      <c r="M6" s="7"/>
      <c r="N6" s="7"/>
      <c r="O6" s="7"/>
      <c r="P6" s="7"/>
      <c r="Q6" s="7"/>
      <c r="R6" s="7"/>
      <c r="S6" s="7"/>
      <c r="T6" s="7"/>
      <c r="U6" s="7"/>
    </row>
    <row r="7" customFormat="false" ht="15" hidden="false" customHeight="false" outlineLevel="0" collapsed="false">
      <c r="A7" s="7"/>
      <c r="B7" s="7"/>
      <c r="C7" s="7"/>
      <c r="D7" s="7"/>
      <c r="E7" s="7"/>
      <c r="F7" s="7"/>
      <c r="G7" s="7"/>
      <c r="H7" s="7"/>
      <c r="I7" s="7"/>
      <c r="J7" s="7"/>
      <c r="K7" s="7"/>
      <c r="L7" s="7"/>
      <c r="M7" s="7"/>
      <c r="N7" s="7"/>
      <c r="O7" s="7"/>
      <c r="P7" s="7"/>
      <c r="Q7" s="7"/>
      <c r="R7" s="7"/>
      <c r="S7" s="7"/>
      <c r="T7" s="7"/>
      <c r="U7" s="7"/>
    </row>
    <row r="8" customFormat="false" ht="15" hidden="false" customHeight="false" outlineLevel="0" collapsed="false">
      <c r="A8" s="7"/>
      <c r="B8" s="7"/>
      <c r="C8" s="7"/>
      <c r="D8" s="7"/>
      <c r="E8" s="7"/>
      <c r="F8" s="7"/>
      <c r="G8" s="7"/>
      <c r="H8" s="7"/>
      <c r="I8" s="7"/>
      <c r="J8" s="7"/>
      <c r="K8" s="7"/>
      <c r="L8" s="7"/>
      <c r="M8" s="7"/>
      <c r="N8" s="7"/>
      <c r="O8" s="7"/>
      <c r="P8" s="7"/>
      <c r="Q8" s="7"/>
      <c r="R8" s="7"/>
      <c r="S8" s="7"/>
      <c r="T8" s="7"/>
      <c r="U8" s="7"/>
    </row>
    <row r="9" customFormat="false" ht="15" hidden="false" customHeight="false" outlineLevel="0" collapsed="false">
      <c r="A9" s="7"/>
      <c r="B9" s="7"/>
      <c r="C9" s="7"/>
      <c r="D9" s="7"/>
      <c r="E9" s="7"/>
      <c r="F9" s="7"/>
      <c r="G9" s="7"/>
      <c r="H9" s="7"/>
      <c r="I9" s="7"/>
      <c r="J9" s="7"/>
      <c r="K9" s="7"/>
      <c r="L9" s="7"/>
      <c r="M9" s="7"/>
      <c r="N9" s="7"/>
      <c r="O9" s="7"/>
      <c r="P9" s="7"/>
      <c r="Q9" s="7"/>
      <c r="R9" s="7"/>
      <c r="S9" s="7"/>
      <c r="T9" s="7"/>
      <c r="U9" s="7"/>
    </row>
    <row r="10" customFormat="false" ht="15" hidden="false" customHeight="false" outlineLevel="0" collapsed="false">
      <c r="A10" s="7"/>
      <c r="B10" s="7"/>
      <c r="C10" s="7"/>
      <c r="D10" s="7"/>
      <c r="E10" s="7"/>
      <c r="F10" s="7"/>
      <c r="G10" s="7"/>
      <c r="H10" s="7"/>
      <c r="I10" s="7"/>
      <c r="J10" s="7"/>
      <c r="K10" s="7"/>
      <c r="L10" s="7"/>
      <c r="M10" s="7"/>
      <c r="N10" s="7"/>
      <c r="O10" s="7"/>
      <c r="P10" s="7"/>
      <c r="Q10" s="7"/>
      <c r="R10" s="7"/>
      <c r="S10" s="7"/>
      <c r="T10" s="7"/>
      <c r="U10" s="7"/>
    </row>
    <row r="11" customFormat="false" ht="15" hidden="false" customHeight="false" outlineLevel="0" collapsed="false">
      <c r="A11" s="7"/>
      <c r="B11" s="7"/>
      <c r="C11" s="7"/>
      <c r="D11" s="7"/>
      <c r="E11" s="7"/>
      <c r="F11" s="7"/>
      <c r="G11" s="7"/>
      <c r="H11" s="7"/>
      <c r="I11" s="7"/>
      <c r="J11" s="7"/>
      <c r="K11" s="7"/>
      <c r="L11" s="7"/>
      <c r="M11" s="7"/>
      <c r="N11" s="7"/>
      <c r="O11" s="7"/>
      <c r="P11" s="7"/>
      <c r="Q11" s="7"/>
      <c r="R11" s="7"/>
      <c r="S11" s="7"/>
      <c r="T11" s="7"/>
      <c r="U11" s="7"/>
    </row>
    <row r="12" customFormat="false" ht="15" hidden="false" customHeight="false" outlineLevel="0" collapsed="false">
      <c r="A12" s="7"/>
      <c r="B12" s="7"/>
      <c r="C12" s="7"/>
      <c r="D12" s="7"/>
      <c r="E12" s="7"/>
      <c r="F12" s="7"/>
      <c r="G12" s="7"/>
      <c r="H12" s="7"/>
      <c r="I12" s="7"/>
      <c r="J12" s="7"/>
      <c r="K12" s="7"/>
      <c r="L12" s="7"/>
      <c r="M12" s="7"/>
      <c r="N12" s="7"/>
      <c r="O12" s="7"/>
      <c r="P12" s="7"/>
      <c r="Q12" s="7"/>
      <c r="R12" s="7"/>
      <c r="S12" s="7"/>
      <c r="T12" s="7"/>
      <c r="U12" s="7"/>
    </row>
    <row r="13" customFormat="false" ht="15" hidden="false" customHeight="false" outlineLevel="0" collapsed="false">
      <c r="A13" s="7"/>
      <c r="B13" s="7"/>
      <c r="C13" s="7"/>
      <c r="D13" s="7"/>
      <c r="E13" s="7"/>
      <c r="F13" s="7"/>
      <c r="G13" s="7"/>
      <c r="H13" s="7"/>
      <c r="I13" s="7"/>
      <c r="J13" s="7"/>
      <c r="K13" s="7"/>
      <c r="L13" s="7"/>
      <c r="M13" s="7"/>
      <c r="N13" s="7"/>
      <c r="O13" s="7"/>
      <c r="P13" s="7"/>
      <c r="Q13" s="7"/>
      <c r="R13" s="7"/>
      <c r="S13" s="7"/>
      <c r="T13" s="7"/>
      <c r="U13" s="7"/>
    </row>
    <row r="14" customFormat="false" ht="15" hidden="false" customHeight="false" outlineLevel="0" collapsed="false">
      <c r="A14" s="7"/>
      <c r="B14" s="7"/>
      <c r="C14" s="7"/>
      <c r="D14" s="7"/>
      <c r="E14" s="7"/>
      <c r="F14" s="7"/>
      <c r="G14" s="7"/>
      <c r="H14" s="7"/>
      <c r="I14" s="7"/>
      <c r="J14" s="7"/>
      <c r="K14" s="7"/>
      <c r="L14" s="7"/>
      <c r="M14" s="7"/>
      <c r="N14" s="7"/>
      <c r="O14" s="7"/>
      <c r="P14" s="7"/>
      <c r="Q14" s="7"/>
      <c r="R14" s="7"/>
      <c r="S14" s="7"/>
      <c r="T14" s="7"/>
      <c r="U14" s="7"/>
    </row>
    <row r="15" customFormat="false" ht="15" hidden="false" customHeight="false" outlineLevel="0" collapsed="false">
      <c r="A15" s="7"/>
      <c r="B15" s="7"/>
      <c r="C15" s="7"/>
      <c r="D15" s="7"/>
      <c r="E15" s="7"/>
      <c r="F15" s="7"/>
      <c r="G15" s="7"/>
      <c r="H15" s="7"/>
      <c r="I15" s="7"/>
      <c r="J15" s="7"/>
      <c r="K15" s="7"/>
      <c r="L15" s="7"/>
      <c r="M15" s="7"/>
      <c r="N15" s="7"/>
      <c r="O15" s="7"/>
      <c r="P15" s="7"/>
      <c r="Q15" s="7"/>
      <c r="R15" s="7"/>
      <c r="S15" s="7"/>
      <c r="T15" s="7"/>
      <c r="U15" s="7"/>
    </row>
    <row r="16" customFormat="false" ht="15" hidden="false" customHeight="false" outlineLevel="0" collapsed="false">
      <c r="A16" s="7"/>
      <c r="B16" s="7"/>
      <c r="C16" s="7"/>
      <c r="D16" s="7"/>
      <c r="E16" s="7"/>
      <c r="F16" s="7"/>
      <c r="G16" s="7"/>
      <c r="H16" s="7"/>
      <c r="I16" s="7"/>
      <c r="J16" s="7"/>
      <c r="K16" s="7"/>
      <c r="L16" s="7"/>
      <c r="M16" s="7"/>
      <c r="N16" s="7"/>
      <c r="O16" s="7"/>
      <c r="P16" s="7"/>
      <c r="Q16" s="7"/>
      <c r="R16" s="7"/>
      <c r="S16" s="7"/>
      <c r="T16" s="7"/>
      <c r="U16" s="7"/>
    </row>
    <row r="17" customFormat="false" ht="15" hidden="false" customHeight="false" outlineLevel="0" collapsed="false">
      <c r="A17" s="7"/>
      <c r="B17" s="7"/>
      <c r="C17" s="7"/>
      <c r="D17" s="7"/>
      <c r="E17" s="7"/>
      <c r="F17" s="7"/>
      <c r="G17" s="7"/>
      <c r="H17" s="7"/>
      <c r="I17" s="7"/>
      <c r="J17" s="7"/>
      <c r="K17" s="7"/>
      <c r="L17" s="7"/>
      <c r="M17" s="7"/>
      <c r="N17" s="7"/>
      <c r="O17" s="7"/>
      <c r="P17" s="7"/>
      <c r="Q17" s="7"/>
      <c r="R17" s="7"/>
      <c r="S17" s="7"/>
      <c r="T17" s="7"/>
      <c r="U17" s="7"/>
    </row>
    <row r="18" customFormat="false" ht="15" hidden="false" customHeight="false" outlineLevel="0" collapsed="false">
      <c r="A18" s="7"/>
      <c r="B18" s="7"/>
      <c r="C18" s="7"/>
      <c r="D18" s="7"/>
      <c r="E18" s="7"/>
      <c r="F18" s="7"/>
      <c r="G18" s="7"/>
      <c r="H18" s="7"/>
      <c r="I18" s="7"/>
      <c r="J18" s="7"/>
      <c r="K18" s="7"/>
      <c r="L18" s="7"/>
      <c r="M18" s="7"/>
      <c r="N18" s="7"/>
      <c r="O18" s="7"/>
      <c r="P18" s="7"/>
      <c r="Q18" s="7"/>
      <c r="R18" s="7"/>
      <c r="S18" s="7"/>
      <c r="T18" s="7"/>
      <c r="U18" s="7"/>
    </row>
    <row r="19" customFormat="false" ht="15" hidden="false" customHeight="false" outlineLevel="0" collapsed="false">
      <c r="A19" s="7"/>
      <c r="B19" s="7"/>
      <c r="C19" s="7"/>
      <c r="D19" s="7"/>
      <c r="E19" s="7"/>
      <c r="F19" s="7"/>
      <c r="G19" s="7"/>
      <c r="H19" s="7"/>
      <c r="I19" s="7"/>
      <c r="J19" s="7"/>
      <c r="K19" s="7"/>
      <c r="L19" s="7"/>
      <c r="M19" s="7"/>
      <c r="N19" s="7"/>
      <c r="O19" s="7"/>
      <c r="P19" s="7"/>
      <c r="Q19" s="7"/>
      <c r="R19" s="7"/>
      <c r="S19" s="7"/>
      <c r="T19" s="7"/>
      <c r="U19" s="7"/>
    </row>
    <row r="20" customFormat="false" ht="15" hidden="false" customHeight="false" outlineLevel="0" collapsed="false">
      <c r="A20" s="7"/>
      <c r="B20" s="7"/>
      <c r="C20" s="7"/>
      <c r="D20" s="7"/>
      <c r="E20" s="7"/>
      <c r="F20" s="7"/>
      <c r="G20" s="7"/>
      <c r="H20" s="7"/>
      <c r="I20" s="7"/>
      <c r="J20" s="7"/>
      <c r="K20" s="7"/>
      <c r="L20" s="7"/>
      <c r="M20" s="7"/>
      <c r="N20" s="7"/>
      <c r="O20" s="7"/>
      <c r="P20" s="7"/>
      <c r="Q20" s="7"/>
      <c r="R20" s="7"/>
      <c r="S20" s="7"/>
      <c r="T20" s="7"/>
      <c r="U20" s="7"/>
    </row>
    <row r="21" s="22" customFormat="true" ht="1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F26" activeCellId="0" sqref="F26"/>
    </sheetView>
  </sheetViews>
  <sheetFormatPr defaultColWidth="8.59765625" defaultRowHeight="15" zeroHeight="false" outlineLevelRow="0" outlineLevelCol="0"/>
  <cols>
    <col collapsed="false" customWidth="true" hidden="false" outlineLevel="0" max="1" min="1" style="0" width="13.29"/>
    <col collapsed="false" customWidth="true" hidden="false" outlineLevel="0" max="2" min="2" style="0" width="15.72"/>
    <col collapsed="false" customWidth="true" hidden="false" outlineLevel="0" max="3" min="3" style="0" width="8.14"/>
    <col collapsed="false" customWidth="true" hidden="false" outlineLevel="0" max="4" min="4" style="0" width="10.71"/>
    <col collapsed="false" customWidth="true" hidden="false" outlineLevel="0" max="5" min="5" style="0" width="9.29"/>
    <col collapsed="false" customWidth="true" hidden="false" outlineLevel="0" max="8" min="6" style="0" width="14.14"/>
  </cols>
  <sheetData>
    <row r="1" customFormat="false" ht="15" hidden="false" customHeight="false" outlineLevel="0" collapsed="false">
      <c r="A1" s="3" t="s">
        <v>210</v>
      </c>
      <c r="B1" s="3" t="s">
        <v>152</v>
      </c>
      <c r="C1" s="3" t="s">
        <v>211</v>
      </c>
      <c r="D1" s="3" t="s">
        <v>212</v>
      </c>
      <c r="E1" s="3" t="s">
        <v>213</v>
      </c>
      <c r="F1" s="23" t="s">
        <v>214</v>
      </c>
      <c r="G1" s="23" t="s">
        <v>215</v>
      </c>
      <c r="H1" s="24" t="s">
        <v>216</v>
      </c>
    </row>
    <row r="2" customFormat="false" ht="15" hidden="false" customHeight="false" outlineLevel="0" collapsed="false">
      <c r="A2" s="7" t="n">
        <v>20.8</v>
      </c>
      <c r="B2" s="7" t="n">
        <v>0.295</v>
      </c>
      <c r="C2" s="7" t="n">
        <v>1240</v>
      </c>
      <c r="D2" s="7" t="n">
        <v>800</v>
      </c>
      <c r="E2" s="7" t="n">
        <v>96.1</v>
      </c>
      <c r="F2" s="25" t="n">
        <v>0</v>
      </c>
      <c r="G2" s="25" t="n">
        <v>0</v>
      </c>
      <c r="H2" s="7" t="n">
        <v>0</v>
      </c>
    </row>
    <row r="3" customFormat="false" ht="15" hidden="false" customHeight="false" outlineLevel="0" collapsed="false">
      <c r="A3" s="7" t="s">
        <v>217</v>
      </c>
      <c r="B3" s="7" t="s">
        <v>218</v>
      </c>
      <c r="C3" s="7" t="s">
        <v>217</v>
      </c>
      <c r="D3" s="7" t="s">
        <v>217</v>
      </c>
      <c r="E3" s="7" t="s">
        <v>217</v>
      </c>
      <c r="F3" s="7" t="s">
        <v>217</v>
      </c>
      <c r="G3" s="7" t="s">
        <v>217</v>
      </c>
      <c r="H3" s="7" t="s">
        <v>217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B1" colorId="64" zoomScale="99" zoomScaleNormal="99" zoomScalePageLayoutView="100" workbookViewId="0">
      <selection pane="topLeft" activeCell="L37" activeCellId="0" sqref="L37"/>
    </sheetView>
  </sheetViews>
  <sheetFormatPr defaultColWidth="8.59765625" defaultRowHeight="15" zeroHeight="false" outlineLevelRow="0" outlineLevelCol="0"/>
  <sheetData>
    <row r="1" customFormat="false" ht="15" hidden="false" customHeight="false" outlineLevel="0" collapsed="false">
      <c r="A1" s="26" t="s">
        <v>219</v>
      </c>
      <c r="B1" s="27" t="s">
        <v>220</v>
      </c>
      <c r="C1" s="27" t="s">
        <v>221</v>
      </c>
    </row>
    <row r="2" customFormat="false" ht="15" hidden="false" customHeight="false" outlineLevel="0" collapsed="false">
      <c r="A2" s="28" t="n">
        <v>-5</v>
      </c>
      <c r="B2" s="29" t="n">
        <v>-0.32438</v>
      </c>
      <c r="C2" s="29" t="n">
        <v>0.044251</v>
      </c>
    </row>
    <row r="3" customFormat="false" ht="15" hidden="false" customHeight="false" outlineLevel="0" collapsed="false">
      <c r="A3" s="28" t="n">
        <v>-4</v>
      </c>
      <c r="B3" s="29" t="n">
        <v>-0.21503</v>
      </c>
      <c r="C3" s="29" t="n">
        <v>0.033783</v>
      </c>
    </row>
    <row r="4" customFormat="false" ht="15" hidden="false" customHeight="false" outlineLevel="0" collapsed="false">
      <c r="A4" s="28" t="n">
        <v>-3</v>
      </c>
      <c r="B4" s="29" t="n">
        <v>-0.10081</v>
      </c>
      <c r="C4" s="29" t="n">
        <v>0.028627</v>
      </c>
    </row>
    <row r="5" customFormat="false" ht="15" hidden="false" customHeight="false" outlineLevel="0" collapsed="false">
      <c r="A5" s="28" t="n">
        <v>-2</v>
      </c>
      <c r="B5" s="29" t="n">
        <v>0.010503</v>
      </c>
      <c r="C5" s="29" t="n">
        <v>0.025864</v>
      </c>
    </row>
    <row r="6" customFormat="false" ht="15" hidden="false" customHeight="false" outlineLevel="0" collapsed="false">
      <c r="A6" s="28" t="n">
        <v>-1</v>
      </c>
      <c r="B6" s="29" t="n">
        <v>0.12155</v>
      </c>
      <c r="C6" s="29" t="n">
        <v>0.024643</v>
      </c>
    </row>
    <row r="7" customFormat="false" ht="15" hidden="false" customHeight="false" outlineLevel="0" collapsed="false">
      <c r="A7" s="28" t="n">
        <v>0</v>
      </c>
      <c r="B7" s="29" t="n">
        <v>0.24163</v>
      </c>
      <c r="C7" s="29" t="n">
        <v>0.025099</v>
      </c>
    </row>
    <row r="8" customFormat="false" ht="15" hidden="false" customHeight="false" outlineLevel="0" collapsed="false">
      <c r="A8" s="28" t="n">
        <v>1</v>
      </c>
      <c r="B8" s="29" t="n">
        <v>0.34336</v>
      </c>
      <c r="C8" s="29" t="n">
        <v>0.025635</v>
      </c>
    </row>
    <row r="9" customFormat="false" ht="15" hidden="false" customHeight="false" outlineLevel="0" collapsed="false">
      <c r="A9" s="28" t="n">
        <v>2</v>
      </c>
      <c r="B9" s="29" t="n">
        <v>0.45256</v>
      </c>
      <c r="C9" s="29" t="n">
        <v>0.02766</v>
      </c>
    </row>
    <row r="10" customFormat="false" ht="15" hidden="false" customHeight="false" outlineLevel="0" collapsed="false">
      <c r="A10" s="28" t="n">
        <v>3</v>
      </c>
      <c r="B10" s="29" t="n">
        <v>0.56037</v>
      </c>
      <c r="C10" s="29" t="n">
        <v>0.030677</v>
      </c>
    </row>
    <row r="11" customFormat="false" ht="15" hidden="false" customHeight="false" outlineLevel="0" collapsed="false">
      <c r="A11" s="28" t="n">
        <v>4</v>
      </c>
      <c r="B11" s="29" t="n">
        <v>0.66625</v>
      </c>
      <c r="C11" s="29" t="n">
        <v>0.034855</v>
      </c>
    </row>
    <row r="12" customFormat="false" ht="15" hidden="false" customHeight="false" outlineLevel="0" collapsed="false">
      <c r="A12" s="28" t="n">
        <v>5</v>
      </c>
      <c r="B12" s="29" t="n">
        <v>0.76942</v>
      </c>
      <c r="C12" s="29" t="n">
        <v>0.040403</v>
      </c>
    </row>
    <row r="13" customFormat="false" ht="15" hidden="false" customHeight="false" outlineLevel="0" collapsed="false">
      <c r="A13" s="28" t="n">
        <v>6</v>
      </c>
      <c r="B13" s="29" t="n">
        <v>0.86923</v>
      </c>
      <c r="C13" s="29" t="n">
        <v>0.04759</v>
      </c>
    </row>
    <row r="14" customFormat="false" ht="15" hidden="false" customHeight="false" outlineLevel="0" collapsed="false">
      <c r="A14" s="28" t="n">
        <v>7</v>
      </c>
      <c r="B14" s="29" t="n">
        <v>0.96386</v>
      </c>
      <c r="C14" s="29" t="n">
        <v>0.057108</v>
      </c>
    </row>
    <row r="15" customFormat="false" ht="15" hidden="false" customHeight="false" outlineLevel="0" collapsed="false">
      <c r="A15" s="28" t="n">
        <v>8</v>
      </c>
      <c r="B15" s="29" t="n">
        <v>1.0441</v>
      </c>
      <c r="C15" s="29" t="n">
        <v>0.070132</v>
      </c>
    </row>
    <row r="16" customFormat="false" ht="15" hidden="false" customHeight="false" outlineLevel="0" collapsed="false">
      <c r="A16" s="28" t="n">
        <v>9</v>
      </c>
      <c r="B16" s="29" t="n">
        <v>1.0743</v>
      </c>
      <c r="C16" s="29" t="n">
        <v>0.090921</v>
      </c>
    </row>
    <row r="17" customFormat="false" ht="15" hidden="false" customHeight="false" outlineLevel="0" collapsed="false">
      <c r="A17" s="28" t="n">
        <v>10</v>
      </c>
      <c r="B17" s="29" t="n">
        <v>1.0807</v>
      </c>
      <c r="C17" s="29" t="n">
        <v>0.11193</v>
      </c>
    </row>
    <row r="18" customFormat="false" ht="15" hidden="false" customHeight="false" outlineLevel="0" collapsed="false">
      <c r="A18" s="28" t="n">
        <v>11</v>
      </c>
      <c r="B18" s="29" t="n">
        <v>1.0379</v>
      </c>
      <c r="C18" s="29" t="n">
        <v>0.13254</v>
      </c>
    </row>
    <row r="19" customFormat="false" ht="15" hidden="false" customHeight="false" outlineLevel="0" collapsed="false">
      <c r="A19" s="28" t="n">
        <v>12</v>
      </c>
      <c r="B19" s="29" t="n">
        <v>1.034</v>
      </c>
      <c r="C19" s="29" t="n">
        <v>0.15645</v>
      </c>
    </row>
    <row r="21" customFormat="false" ht="15" hidden="false" customHeight="false" outlineLevel="0" collapsed="false">
      <c r="E21" s="30"/>
      <c r="F21" s="3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U1" activeCellId="0" sqref="U1"/>
    </sheetView>
  </sheetViews>
  <sheetFormatPr defaultColWidth="8.5976562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2023-12-05T19:03:00Z</dcterms:created>
  <dc:creator>John K Mah</dc:creator>
  <dc:description/>
  <dc:language>en-US</dc:language>
  <cp:lastModifiedBy/>
  <dcterms:modified xsi:type="dcterms:W3CDTF">2025-10-09T12:25:34Z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